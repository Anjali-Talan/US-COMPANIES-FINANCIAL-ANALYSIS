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NDIM\DOCUMENTS\Projects\Corporate Financial Ratio Benchmarking &amp; Screener\"/>
    </mc:Choice>
  </mc:AlternateContent>
  <xr:revisionPtr revIDLastSave="0" documentId="13_ncr:1_{5AEF1B70-8217-4830-9AA9-6547DE01CF4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" sheetId="1" r:id="rId1"/>
    <sheet name="Clean_Data" sheetId="2" r:id="rId2"/>
    <sheet name="Industry_Benchmark" sheetId="7" r:id="rId3"/>
    <sheet name="Company_Scoring" sheetId="4" r:id="rId4"/>
    <sheet name="Analysis" sheetId="5" r:id="rId5"/>
  </sheets>
  <definedNames>
    <definedName name="_xlnm._FilterDatabase" localSheetId="0" hidden="1">Raw_Data!$A$1:$AN$227</definedName>
  </definedNames>
  <calcPr calcId="191029"/>
  <pivotCaches>
    <pivotCache cacheId="3" r:id="rId6"/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5" l="1"/>
  <c r="Y5" i="4"/>
  <c r="Z5" i="4" s="1"/>
  <c r="AA5" i="4" s="1"/>
  <c r="Y102" i="4"/>
  <c r="Z102" i="4" s="1"/>
  <c r="AA102" i="4" s="1"/>
  <c r="Y103" i="4"/>
  <c r="Z103" i="4" s="1"/>
  <c r="AA103" i="4" s="1"/>
  <c r="Y104" i="4"/>
  <c r="Z104" i="4" s="1"/>
  <c r="AA104" i="4" s="1"/>
  <c r="Y68" i="4"/>
  <c r="Z68" i="4" s="1"/>
  <c r="AA68" i="4" s="1"/>
  <c r="Y6" i="4"/>
  <c r="Z6" i="4" s="1"/>
  <c r="AA6" i="4" s="1"/>
  <c r="Y31" i="4"/>
  <c r="Z31" i="4" s="1"/>
  <c r="AA31" i="4" s="1"/>
  <c r="Y69" i="4"/>
  <c r="Z69" i="4" s="1"/>
  <c r="AA69" i="4" s="1"/>
  <c r="Y32" i="4"/>
  <c r="Z32" i="4" s="1"/>
  <c r="AA32" i="4" s="1"/>
  <c r="Y145" i="4"/>
  <c r="Z145" i="4" s="1"/>
  <c r="AA145" i="4" s="1"/>
  <c r="Y189" i="4"/>
  <c r="Z189" i="4" s="1"/>
  <c r="AA189" i="4" s="1"/>
  <c r="Y146" i="4"/>
  <c r="Z146" i="4" s="1"/>
  <c r="AA146" i="4" s="1"/>
  <c r="Y105" i="4"/>
  <c r="Z105" i="4" s="1"/>
  <c r="AA105" i="4" s="1"/>
  <c r="Y7" i="4"/>
  <c r="Z7" i="4" s="1"/>
  <c r="AA7" i="4" s="1"/>
  <c r="Y8" i="4"/>
  <c r="Z8" i="4" s="1"/>
  <c r="AA8" i="4" s="1"/>
  <c r="Y106" i="4"/>
  <c r="Z106" i="4" s="1"/>
  <c r="AA106" i="4" s="1"/>
  <c r="Y107" i="4"/>
  <c r="Z107" i="4" s="1"/>
  <c r="AA107" i="4" s="1"/>
  <c r="Y108" i="4"/>
  <c r="Z108" i="4" s="1"/>
  <c r="AA108" i="4" s="1"/>
  <c r="Y33" i="4"/>
  <c r="Z33" i="4" s="1"/>
  <c r="AA33" i="4" s="1"/>
  <c r="Y70" i="4"/>
  <c r="Z70" i="4" s="1"/>
  <c r="AA70" i="4" s="1"/>
  <c r="Y147" i="4"/>
  <c r="Z147" i="4" s="1"/>
  <c r="AA147" i="4" s="1"/>
  <c r="Y109" i="4"/>
  <c r="Z109" i="4" s="1"/>
  <c r="AA109" i="4" s="1"/>
  <c r="Y71" i="4"/>
  <c r="Z71" i="4" s="1"/>
  <c r="AA71" i="4" s="1"/>
  <c r="Y110" i="4"/>
  <c r="Z110" i="4" s="1"/>
  <c r="AA110" i="4" s="1"/>
  <c r="Y72" i="4"/>
  <c r="Z72" i="4" s="1"/>
  <c r="AA72" i="4" s="1"/>
  <c r="Y148" i="4"/>
  <c r="Z148" i="4" s="1"/>
  <c r="AA148" i="4" s="1"/>
  <c r="Y149" i="4"/>
  <c r="Z149" i="4" s="1"/>
  <c r="AA149" i="4" s="1"/>
  <c r="Y9" i="4"/>
  <c r="Z9" i="4" s="1"/>
  <c r="AA9" i="4" s="1"/>
  <c r="Y2" i="4"/>
  <c r="Z2" i="4" s="1"/>
  <c r="AA2" i="4" s="1"/>
  <c r="Y190" i="4"/>
  <c r="Z190" i="4" s="1"/>
  <c r="AA190" i="4" s="1"/>
  <c r="Y73" i="4"/>
  <c r="Z73" i="4" s="1"/>
  <c r="AA73" i="4" s="1"/>
  <c r="Y150" i="4"/>
  <c r="Z150" i="4" s="1"/>
  <c r="AA150" i="4" s="1"/>
  <c r="Y34" i="4"/>
  <c r="Z34" i="4" s="1"/>
  <c r="AA34" i="4" s="1"/>
  <c r="Y191" i="4"/>
  <c r="Z191" i="4" s="1"/>
  <c r="AA191" i="4" s="1"/>
  <c r="Y111" i="4"/>
  <c r="Z111" i="4" s="1"/>
  <c r="AA111" i="4" s="1"/>
  <c r="Y112" i="4"/>
  <c r="Z112" i="4" s="1"/>
  <c r="AA112" i="4" s="1"/>
  <c r="Y151" i="4"/>
  <c r="Z151" i="4" s="1"/>
  <c r="AA151" i="4" s="1"/>
  <c r="Y35" i="4"/>
  <c r="Z35" i="4" s="1"/>
  <c r="AA35" i="4" s="1"/>
  <c r="Y113" i="4"/>
  <c r="Z113" i="4" s="1"/>
  <c r="AA113" i="4" s="1"/>
  <c r="Y36" i="4"/>
  <c r="Z36" i="4" s="1"/>
  <c r="AA36" i="4" s="1"/>
  <c r="Y37" i="4"/>
  <c r="Z37" i="4" s="1"/>
  <c r="AA37" i="4" s="1"/>
  <c r="Y38" i="4"/>
  <c r="Z38" i="4" s="1"/>
  <c r="AA38" i="4" s="1"/>
  <c r="Y192" i="4"/>
  <c r="Z192" i="4" s="1"/>
  <c r="AA192" i="4" s="1"/>
  <c r="Y39" i="4"/>
  <c r="Z39" i="4" s="1"/>
  <c r="AA39" i="4" s="1"/>
  <c r="Y152" i="4"/>
  <c r="Z152" i="4" s="1"/>
  <c r="AA152" i="4" s="1"/>
  <c r="Y193" i="4"/>
  <c r="Z193" i="4" s="1"/>
  <c r="AA193" i="4" s="1"/>
  <c r="Y153" i="4"/>
  <c r="Z153" i="4" s="1"/>
  <c r="AA153" i="4" s="1"/>
  <c r="Y114" i="4"/>
  <c r="Z114" i="4" s="1"/>
  <c r="AA114" i="4" s="1"/>
  <c r="Y154" i="4"/>
  <c r="Z154" i="4" s="1"/>
  <c r="AA154" i="4" s="1"/>
  <c r="Y155" i="4"/>
  <c r="Z155" i="4" s="1"/>
  <c r="AA155" i="4" s="1"/>
  <c r="Y74" i="4"/>
  <c r="Z74" i="4" s="1"/>
  <c r="AA74" i="4" s="1"/>
  <c r="Y40" i="4"/>
  <c r="Z40" i="4" s="1"/>
  <c r="AA40" i="4" s="1"/>
  <c r="Y156" i="4"/>
  <c r="Z156" i="4" s="1"/>
  <c r="AA156" i="4" s="1"/>
  <c r="Y157" i="4"/>
  <c r="Z157" i="4" s="1"/>
  <c r="AA157" i="4" s="1"/>
  <c r="Y75" i="4"/>
  <c r="Z75" i="4" s="1"/>
  <c r="AA75" i="4" s="1"/>
  <c r="Y41" i="4"/>
  <c r="Z41" i="4" s="1"/>
  <c r="AA41" i="4" s="1"/>
  <c r="Y194" i="4"/>
  <c r="Z194" i="4" s="1"/>
  <c r="AA194" i="4" s="1"/>
  <c r="Y158" i="4"/>
  <c r="Z158" i="4" s="1"/>
  <c r="AA158" i="4" s="1"/>
  <c r="Y42" i="4"/>
  <c r="Z42" i="4" s="1"/>
  <c r="AA42" i="4" s="1"/>
  <c r="Y43" i="4"/>
  <c r="Z43" i="4" s="1"/>
  <c r="AA43" i="4" s="1"/>
  <c r="Y44" i="4"/>
  <c r="Z44" i="4" s="1"/>
  <c r="AA44" i="4" s="1"/>
  <c r="Y159" i="4"/>
  <c r="Z159" i="4" s="1"/>
  <c r="AA159" i="4" s="1"/>
  <c r="Y10" i="4"/>
  <c r="Z10" i="4" s="1"/>
  <c r="AA10" i="4" s="1"/>
  <c r="Y11" i="4"/>
  <c r="Z11" i="4" s="1"/>
  <c r="AA11" i="4" s="1"/>
  <c r="Y115" i="4"/>
  <c r="Z115" i="4" s="1"/>
  <c r="AA115" i="4" s="1"/>
  <c r="Y116" i="4"/>
  <c r="Z116" i="4" s="1"/>
  <c r="AA116" i="4" s="1"/>
  <c r="Y160" i="4"/>
  <c r="Z160" i="4" s="1"/>
  <c r="AA160" i="4" s="1"/>
  <c r="Y195" i="4"/>
  <c r="Z195" i="4" s="1"/>
  <c r="AA195" i="4" s="1"/>
  <c r="Y161" i="4"/>
  <c r="Z161" i="4" s="1"/>
  <c r="AA161" i="4" s="1"/>
  <c r="Y196" i="4"/>
  <c r="Z196" i="4" s="1"/>
  <c r="AA196" i="4" s="1"/>
  <c r="Y12" i="4"/>
  <c r="Z12" i="4" s="1"/>
  <c r="AA12" i="4" s="1"/>
  <c r="Y162" i="4"/>
  <c r="Z162" i="4" s="1"/>
  <c r="AA162" i="4" s="1"/>
  <c r="Y117" i="4"/>
  <c r="Z117" i="4" s="1"/>
  <c r="AA117" i="4" s="1"/>
  <c r="Y13" i="4"/>
  <c r="Z13" i="4" s="1"/>
  <c r="AA13" i="4" s="1"/>
  <c r="Y45" i="4"/>
  <c r="Z45" i="4" s="1"/>
  <c r="AA45" i="4" s="1"/>
  <c r="Y163" i="4"/>
  <c r="Z163" i="4" s="1"/>
  <c r="AA163" i="4" s="1"/>
  <c r="Y76" i="4"/>
  <c r="Z76" i="4" s="1"/>
  <c r="AA76" i="4" s="1"/>
  <c r="Y164" i="4"/>
  <c r="Z164" i="4" s="1"/>
  <c r="AA164" i="4" s="1"/>
  <c r="Y197" i="4"/>
  <c r="Z197" i="4" s="1"/>
  <c r="AA197" i="4" s="1"/>
  <c r="Y198" i="4"/>
  <c r="Z198" i="4" s="1"/>
  <c r="AA198" i="4" s="1"/>
  <c r="Y118" i="4"/>
  <c r="Z118" i="4" s="1"/>
  <c r="AA118" i="4" s="1"/>
  <c r="Y77" i="4"/>
  <c r="Z77" i="4" s="1"/>
  <c r="AA77" i="4" s="1"/>
  <c r="Y199" i="4"/>
  <c r="Z199" i="4" s="1"/>
  <c r="AA199" i="4" s="1"/>
  <c r="Y165" i="4"/>
  <c r="Z165" i="4" s="1"/>
  <c r="AA165" i="4" s="1"/>
  <c r="Y78" i="4"/>
  <c r="Z78" i="4" s="1"/>
  <c r="AA78" i="4" s="1"/>
  <c r="Y166" i="4"/>
  <c r="Z166" i="4" s="1"/>
  <c r="AA166" i="4" s="1"/>
  <c r="Y167" i="4"/>
  <c r="Z167" i="4" s="1"/>
  <c r="AA167" i="4" s="1"/>
  <c r="Y14" i="4"/>
  <c r="Z14" i="4" s="1"/>
  <c r="AA14" i="4" s="1"/>
  <c r="Y119" i="4"/>
  <c r="Z119" i="4" s="1"/>
  <c r="AA119" i="4" s="1"/>
  <c r="Y15" i="4"/>
  <c r="Z15" i="4" s="1"/>
  <c r="AA15" i="4" s="1"/>
  <c r="Y79" i="4"/>
  <c r="Z79" i="4" s="1"/>
  <c r="AA79" i="4" s="1"/>
  <c r="Y200" i="4"/>
  <c r="Z200" i="4" s="1"/>
  <c r="AA200" i="4" s="1"/>
  <c r="Y16" i="4"/>
  <c r="Z16" i="4" s="1"/>
  <c r="AA16" i="4" s="1"/>
  <c r="Y120" i="4"/>
  <c r="Z120" i="4" s="1"/>
  <c r="AA120" i="4" s="1"/>
  <c r="Y121" i="4"/>
  <c r="Z121" i="4" s="1"/>
  <c r="AA121" i="4" s="1"/>
  <c r="Y122" i="4"/>
  <c r="Z122" i="4" s="1"/>
  <c r="AA122" i="4" s="1"/>
  <c r="Y168" i="4"/>
  <c r="Z168" i="4" s="1"/>
  <c r="AA168" i="4" s="1"/>
  <c r="Y201" i="4"/>
  <c r="Z201" i="4" s="1"/>
  <c r="AA201" i="4" s="1"/>
  <c r="Y123" i="4"/>
  <c r="Z123" i="4" s="1"/>
  <c r="AA123" i="4" s="1"/>
  <c r="Y80" i="4"/>
  <c r="Z80" i="4" s="1"/>
  <c r="AA80" i="4" s="1"/>
  <c r="Y46" i="4"/>
  <c r="Z46" i="4" s="1"/>
  <c r="AA46" i="4" s="1"/>
  <c r="Y47" i="4"/>
  <c r="Z47" i="4" s="1"/>
  <c r="AA47" i="4" s="1"/>
  <c r="Y202" i="4"/>
  <c r="Z202" i="4" s="1"/>
  <c r="AA202" i="4" s="1"/>
  <c r="Y203" i="4"/>
  <c r="Z203" i="4" s="1"/>
  <c r="AA203" i="4" s="1"/>
  <c r="Y48" i="4"/>
  <c r="Z48" i="4" s="1"/>
  <c r="AA48" i="4" s="1"/>
  <c r="Y81" i="4"/>
  <c r="Z81" i="4" s="1"/>
  <c r="AA81" i="4" s="1"/>
  <c r="Y124" i="4"/>
  <c r="Z124" i="4" s="1"/>
  <c r="AA124" i="4" s="1"/>
  <c r="Y49" i="4"/>
  <c r="Z49" i="4" s="1"/>
  <c r="AA49" i="4" s="1"/>
  <c r="Y169" i="4"/>
  <c r="Z169" i="4" s="1"/>
  <c r="AA169" i="4" s="1"/>
  <c r="Y125" i="4"/>
  <c r="Z125" i="4" s="1"/>
  <c r="AA125" i="4" s="1"/>
  <c r="Y50" i="4"/>
  <c r="Z50" i="4" s="1"/>
  <c r="AA50" i="4" s="1"/>
  <c r="Y82" i="4"/>
  <c r="Z82" i="4" s="1"/>
  <c r="AA82" i="4" s="1"/>
  <c r="Y3" i="4"/>
  <c r="Z3" i="4" s="1"/>
  <c r="AA3" i="4" s="1"/>
  <c r="Y4" i="4"/>
  <c r="Z4" i="4" s="1"/>
  <c r="AA4" i="4" s="1"/>
  <c r="Y170" i="4"/>
  <c r="Z170" i="4" s="1"/>
  <c r="AA170" i="4" s="1"/>
  <c r="Y83" i="4"/>
  <c r="Z83" i="4" s="1"/>
  <c r="AA83" i="4" s="1"/>
  <c r="Y171" i="4"/>
  <c r="Z171" i="4" s="1"/>
  <c r="AA171" i="4" s="1"/>
  <c r="Y172" i="4"/>
  <c r="Z172" i="4" s="1"/>
  <c r="AA172" i="4" s="1"/>
  <c r="Y17" i="4"/>
  <c r="Z17" i="4" s="1"/>
  <c r="AA17" i="4" s="1"/>
  <c r="Y173" i="4"/>
  <c r="Z173" i="4" s="1"/>
  <c r="AA173" i="4" s="1"/>
  <c r="Y51" i="4"/>
  <c r="Z51" i="4" s="1"/>
  <c r="AA51" i="4" s="1"/>
  <c r="Y204" i="4"/>
  <c r="Z204" i="4" s="1"/>
  <c r="AA204" i="4" s="1"/>
  <c r="Y84" i="4"/>
  <c r="Z84" i="4" s="1"/>
  <c r="AA84" i="4" s="1"/>
  <c r="Y205" i="4"/>
  <c r="Z205" i="4" s="1"/>
  <c r="AA205" i="4" s="1"/>
  <c r="Y174" i="4"/>
  <c r="Z174" i="4" s="1"/>
  <c r="AA174" i="4" s="1"/>
  <c r="Y85" i="4"/>
  <c r="Z85" i="4" s="1"/>
  <c r="AA85" i="4" s="1"/>
  <c r="Y52" i="4"/>
  <c r="Z52" i="4" s="1"/>
  <c r="AA52" i="4" s="1"/>
  <c r="Y86" i="4"/>
  <c r="Z86" i="4" s="1"/>
  <c r="AA86" i="4" s="1"/>
  <c r="Y206" i="4"/>
  <c r="Z206" i="4" s="1"/>
  <c r="AA206" i="4" s="1"/>
  <c r="Y126" i="4"/>
  <c r="Z126" i="4" s="1"/>
  <c r="AA126" i="4" s="1"/>
  <c r="Y87" i="4"/>
  <c r="Z87" i="4" s="1"/>
  <c r="AA87" i="4" s="1"/>
  <c r="Y127" i="4"/>
  <c r="Z127" i="4" s="1"/>
  <c r="AA127" i="4" s="1"/>
  <c r="Y53" i="4"/>
  <c r="Z53" i="4" s="1"/>
  <c r="AA53" i="4" s="1"/>
  <c r="Y88" i="4"/>
  <c r="Z88" i="4" s="1"/>
  <c r="AA88" i="4" s="1"/>
  <c r="Y54" i="4"/>
  <c r="Z54" i="4" s="1"/>
  <c r="AA54" i="4" s="1"/>
  <c r="Y55" i="4"/>
  <c r="Z55" i="4" s="1"/>
  <c r="AA55" i="4" s="1"/>
  <c r="Y175" i="4"/>
  <c r="Z175" i="4" s="1"/>
  <c r="AA175" i="4" s="1"/>
  <c r="Y89" i="4"/>
  <c r="Z89" i="4" s="1"/>
  <c r="AA89" i="4" s="1"/>
  <c r="Y90" i="4"/>
  <c r="Z90" i="4" s="1"/>
  <c r="AA90" i="4" s="1"/>
  <c r="Y207" i="4"/>
  <c r="Z207" i="4" s="1"/>
  <c r="AA207" i="4" s="1"/>
  <c r="Y208" i="4"/>
  <c r="Z208" i="4" s="1"/>
  <c r="AA208" i="4" s="1"/>
  <c r="Y56" i="4"/>
  <c r="Z56" i="4" s="1"/>
  <c r="AA56" i="4" s="1"/>
  <c r="Y18" i="4"/>
  <c r="Z18" i="4" s="1"/>
  <c r="AA18" i="4" s="1"/>
  <c r="Y176" i="4"/>
  <c r="Z176" i="4" s="1"/>
  <c r="AA176" i="4" s="1"/>
  <c r="Y177" i="4"/>
  <c r="Z177" i="4" s="1"/>
  <c r="AA177" i="4" s="1"/>
  <c r="Y178" i="4"/>
  <c r="Z178" i="4" s="1"/>
  <c r="AA178" i="4" s="1"/>
  <c r="Y209" i="4"/>
  <c r="Z209" i="4" s="1"/>
  <c r="AA209" i="4" s="1"/>
  <c r="Y128" i="4"/>
  <c r="Z128" i="4" s="1"/>
  <c r="AA128" i="4" s="1"/>
  <c r="Y129" i="4"/>
  <c r="Z129" i="4" s="1"/>
  <c r="AA129" i="4" s="1"/>
  <c r="Y19" i="4"/>
  <c r="Z19" i="4" s="1"/>
  <c r="AA19" i="4" s="1"/>
  <c r="Y20" i="4"/>
  <c r="Z20" i="4" s="1"/>
  <c r="AA20" i="4" s="1"/>
  <c r="Y179" i="4"/>
  <c r="Z179" i="4" s="1"/>
  <c r="AA179" i="4" s="1"/>
  <c r="Y210" i="4"/>
  <c r="Z210" i="4" s="1"/>
  <c r="AA210" i="4" s="1"/>
  <c r="Y130" i="4"/>
  <c r="Z130" i="4" s="1"/>
  <c r="AA130" i="4" s="1"/>
  <c r="Y91" i="4"/>
  <c r="Z91" i="4" s="1"/>
  <c r="AA91" i="4" s="1"/>
  <c r="Y211" i="4"/>
  <c r="Z211" i="4" s="1"/>
  <c r="AA211" i="4" s="1"/>
  <c r="Y57" i="4"/>
  <c r="Z57" i="4" s="1"/>
  <c r="AA57" i="4" s="1"/>
  <c r="Y212" i="4"/>
  <c r="Z212" i="4" s="1"/>
  <c r="AA212" i="4" s="1"/>
  <c r="Y58" i="4"/>
  <c r="Z58" i="4" s="1"/>
  <c r="AA58" i="4" s="1"/>
  <c r="Y21" i="4"/>
  <c r="Z21" i="4" s="1"/>
  <c r="AA21" i="4" s="1"/>
  <c r="Y92" i="4"/>
  <c r="Z92" i="4" s="1"/>
  <c r="AA92" i="4" s="1"/>
  <c r="Y22" i="4"/>
  <c r="Z22" i="4" s="1"/>
  <c r="AA22" i="4" s="1"/>
  <c r="Y93" i="4"/>
  <c r="Z93" i="4" s="1"/>
  <c r="AA93" i="4" s="1"/>
  <c r="Y131" i="4"/>
  <c r="Z131" i="4" s="1"/>
  <c r="AA131" i="4" s="1"/>
  <c r="Y213" i="4"/>
  <c r="Z213" i="4" s="1"/>
  <c r="AA213" i="4" s="1"/>
  <c r="Y23" i="4"/>
  <c r="Z23" i="4" s="1"/>
  <c r="AA23" i="4" s="1"/>
  <c r="Y94" i="4"/>
  <c r="Z94" i="4" s="1"/>
  <c r="AA94" i="4" s="1"/>
  <c r="Y24" i="4"/>
  <c r="Z24" i="4" s="1"/>
  <c r="AA24" i="4" s="1"/>
  <c r="Y180" i="4"/>
  <c r="Z180" i="4" s="1"/>
  <c r="AA180" i="4" s="1"/>
  <c r="Y181" i="4"/>
  <c r="Z181" i="4" s="1"/>
  <c r="AA181" i="4" s="1"/>
  <c r="Y25" i="4"/>
  <c r="Z25" i="4" s="1"/>
  <c r="AA25" i="4" s="1"/>
  <c r="Y132" i="4"/>
  <c r="Z132" i="4" s="1"/>
  <c r="AA132" i="4" s="1"/>
  <c r="Y59" i="4"/>
  <c r="Z59" i="4" s="1"/>
  <c r="AA59" i="4" s="1"/>
  <c r="Y26" i="4"/>
  <c r="Z26" i="4" s="1"/>
  <c r="AA26" i="4" s="1"/>
  <c r="Y214" i="4"/>
  <c r="Z214" i="4" s="1"/>
  <c r="AA214" i="4" s="1"/>
  <c r="Y215" i="4"/>
  <c r="Z215" i="4" s="1"/>
  <c r="AA215" i="4" s="1"/>
  <c r="Y182" i="4"/>
  <c r="Z182" i="4" s="1"/>
  <c r="AA182" i="4" s="1"/>
  <c r="Y216" i="4"/>
  <c r="Z216" i="4" s="1"/>
  <c r="AA216" i="4" s="1"/>
  <c r="Y95" i="4"/>
  <c r="Z95" i="4" s="1"/>
  <c r="AA95" i="4" s="1"/>
  <c r="Y217" i="4"/>
  <c r="Z217" i="4" s="1"/>
  <c r="AA217" i="4" s="1"/>
  <c r="Y218" i="4"/>
  <c r="Z218" i="4" s="1"/>
  <c r="AA218" i="4" s="1"/>
  <c r="Y96" i="4"/>
  <c r="Z96" i="4" s="1"/>
  <c r="AA96" i="4" s="1"/>
  <c r="Y133" i="4"/>
  <c r="Z133" i="4" s="1"/>
  <c r="AA133" i="4" s="1"/>
  <c r="Y219" i="4"/>
  <c r="Z219" i="4" s="1"/>
  <c r="AA219" i="4" s="1"/>
  <c r="Y183" i="4"/>
  <c r="Z183" i="4" s="1"/>
  <c r="AA183" i="4" s="1"/>
  <c r="Y134" i="4"/>
  <c r="Z134" i="4" s="1"/>
  <c r="AA134" i="4" s="1"/>
  <c r="Y27" i="4"/>
  <c r="Z27" i="4" s="1"/>
  <c r="AA27" i="4" s="1"/>
  <c r="Y220" i="4"/>
  <c r="Z220" i="4" s="1"/>
  <c r="AA220" i="4" s="1"/>
  <c r="Y221" i="4"/>
  <c r="Z221" i="4" s="1"/>
  <c r="AA221" i="4" s="1"/>
  <c r="Y135" i="4"/>
  <c r="Z135" i="4" s="1"/>
  <c r="AA135" i="4" s="1"/>
  <c r="Y97" i="4"/>
  <c r="Z97" i="4" s="1"/>
  <c r="AA97" i="4" s="1"/>
  <c r="Y60" i="4"/>
  <c r="Z60" i="4" s="1"/>
  <c r="AA60" i="4" s="1"/>
  <c r="Y136" i="4"/>
  <c r="Z136" i="4" s="1"/>
  <c r="AA136" i="4" s="1"/>
  <c r="Y28" i="4"/>
  <c r="Z28" i="4" s="1"/>
  <c r="AA28" i="4" s="1"/>
  <c r="Y222" i="4"/>
  <c r="Z222" i="4" s="1"/>
  <c r="AA222" i="4" s="1"/>
  <c r="Y137" i="4"/>
  <c r="Z137" i="4" s="1"/>
  <c r="AA137" i="4" s="1"/>
  <c r="Y61" i="4"/>
  <c r="Z61" i="4" s="1"/>
  <c r="AA61" i="4" s="1"/>
  <c r="Y223" i="4"/>
  <c r="Z223" i="4" s="1"/>
  <c r="AA223" i="4" s="1"/>
  <c r="Y138" i="4"/>
  <c r="Z138" i="4" s="1"/>
  <c r="AA138" i="4" s="1"/>
  <c r="Y184" i="4"/>
  <c r="Z184" i="4" s="1"/>
  <c r="AA184" i="4" s="1"/>
  <c r="Y224" i="4"/>
  <c r="Z224" i="4" s="1"/>
  <c r="AA224" i="4" s="1"/>
  <c r="Y139" i="4"/>
  <c r="Z139" i="4" s="1"/>
  <c r="AA139" i="4" s="1"/>
  <c r="Y29" i="4"/>
  <c r="Z29" i="4" s="1"/>
  <c r="AA29" i="4" s="1"/>
  <c r="Y30" i="4"/>
  <c r="Z30" i="4" s="1"/>
  <c r="AA30" i="4" s="1"/>
  <c r="Y185" i="4"/>
  <c r="Z185" i="4" s="1"/>
  <c r="AA185" i="4" s="1"/>
  <c r="Y62" i="4"/>
  <c r="Z62" i="4" s="1"/>
  <c r="AA62" i="4" s="1"/>
  <c r="Y98" i="4"/>
  <c r="Z98" i="4" s="1"/>
  <c r="AA98" i="4" s="1"/>
  <c r="Y225" i="4"/>
  <c r="Z225" i="4" s="1"/>
  <c r="AA225" i="4" s="1"/>
  <c r="Y140" i="4"/>
  <c r="Z140" i="4" s="1"/>
  <c r="AA140" i="4" s="1"/>
  <c r="Y186" i="4"/>
  <c r="Z186" i="4" s="1"/>
  <c r="AA186" i="4" s="1"/>
  <c r="Y141" i="4"/>
  <c r="Z141" i="4" s="1"/>
  <c r="AA141" i="4" s="1"/>
  <c r="Y99" i="4"/>
  <c r="Z99" i="4" s="1"/>
  <c r="AA99" i="4" s="1"/>
  <c r="Y100" i="4"/>
  <c r="Z100" i="4" s="1"/>
  <c r="AA100" i="4" s="1"/>
  <c r="Y63" i="4"/>
  <c r="Z63" i="4" s="1"/>
  <c r="AA63" i="4" s="1"/>
  <c r="Y187" i="4"/>
  <c r="Z187" i="4" s="1"/>
  <c r="AA187" i="4" s="1"/>
  <c r="Y101" i="4"/>
  <c r="Z101" i="4" s="1"/>
  <c r="AA101" i="4" s="1"/>
  <c r="Y142" i="4"/>
  <c r="Z142" i="4" s="1"/>
  <c r="AA142" i="4" s="1"/>
  <c r="Y64" i="4"/>
  <c r="Z64" i="4" s="1"/>
  <c r="AA64" i="4" s="1"/>
  <c r="Y65" i="4"/>
  <c r="Z65" i="4" s="1"/>
  <c r="AA65" i="4" s="1"/>
  <c r="Y226" i="4"/>
  <c r="Z226" i="4" s="1"/>
  <c r="AA226" i="4" s="1"/>
  <c r="Y143" i="4"/>
  <c r="Z143" i="4" s="1"/>
  <c r="AA143" i="4" s="1"/>
  <c r="Y144" i="4"/>
  <c r="Z144" i="4" s="1"/>
  <c r="AA144" i="4" s="1"/>
  <c r="Y66" i="4"/>
  <c r="Z66" i="4" s="1"/>
  <c r="AA66" i="4" s="1"/>
  <c r="Y67" i="4"/>
  <c r="Z67" i="4" s="1"/>
  <c r="AA67" i="4" s="1"/>
  <c r="Y227" i="4"/>
  <c r="Z227" i="4" s="1"/>
  <c r="AA227" i="4" s="1"/>
  <c r="U5" i="4"/>
  <c r="V5" i="4" s="1"/>
  <c r="W5" i="4" s="1"/>
  <c r="U102" i="4"/>
  <c r="V102" i="4" s="1"/>
  <c r="W102" i="4" s="1"/>
  <c r="U103" i="4"/>
  <c r="V103" i="4" s="1"/>
  <c r="W103" i="4" s="1"/>
  <c r="U104" i="4"/>
  <c r="V104" i="4" s="1"/>
  <c r="W104" i="4" s="1"/>
  <c r="U68" i="4"/>
  <c r="V68" i="4" s="1"/>
  <c r="W68" i="4" s="1"/>
  <c r="U6" i="4"/>
  <c r="V6" i="4" s="1"/>
  <c r="W6" i="4" s="1"/>
  <c r="U31" i="4"/>
  <c r="V31" i="4" s="1"/>
  <c r="W31" i="4" s="1"/>
  <c r="U69" i="4"/>
  <c r="V69" i="4" s="1"/>
  <c r="W69" i="4" s="1"/>
  <c r="U32" i="4"/>
  <c r="V32" i="4" s="1"/>
  <c r="W32" i="4" s="1"/>
  <c r="U145" i="4"/>
  <c r="V145" i="4" s="1"/>
  <c r="W145" i="4" s="1"/>
  <c r="U189" i="4"/>
  <c r="V189" i="4" s="1"/>
  <c r="W189" i="4" s="1"/>
  <c r="U146" i="4"/>
  <c r="V146" i="4" s="1"/>
  <c r="W146" i="4" s="1"/>
  <c r="U105" i="4"/>
  <c r="V105" i="4" s="1"/>
  <c r="W105" i="4" s="1"/>
  <c r="U7" i="4"/>
  <c r="V7" i="4" s="1"/>
  <c r="W7" i="4" s="1"/>
  <c r="U8" i="4"/>
  <c r="V8" i="4" s="1"/>
  <c r="W8" i="4" s="1"/>
  <c r="U106" i="4"/>
  <c r="V106" i="4" s="1"/>
  <c r="W106" i="4" s="1"/>
  <c r="U107" i="4"/>
  <c r="V107" i="4" s="1"/>
  <c r="W107" i="4" s="1"/>
  <c r="U108" i="4"/>
  <c r="V108" i="4" s="1"/>
  <c r="W108" i="4" s="1"/>
  <c r="U33" i="4"/>
  <c r="V33" i="4" s="1"/>
  <c r="W33" i="4" s="1"/>
  <c r="U70" i="4"/>
  <c r="V70" i="4" s="1"/>
  <c r="W70" i="4" s="1"/>
  <c r="U147" i="4"/>
  <c r="V147" i="4" s="1"/>
  <c r="W147" i="4" s="1"/>
  <c r="U109" i="4"/>
  <c r="V109" i="4" s="1"/>
  <c r="W109" i="4" s="1"/>
  <c r="U71" i="4"/>
  <c r="V71" i="4" s="1"/>
  <c r="W71" i="4" s="1"/>
  <c r="U110" i="4"/>
  <c r="V110" i="4" s="1"/>
  <c r="W110" i="4" s="1"/>
  <c r="U72" i="4"/>
  <c r="V72" i="4" s="1"/>
  <c r="W72" i="4" s="1"/>
  <c r="U148" i="4"/>
  <c r="V148" i="4" s="1"/>
  <c r="W148" i="4" s="1"/>
  <c r="U149" i="4"/>
  <c r="V149" i="4" s="1"/>
  <c r="W149" i="4" s="1"/>
  <c r="U9" i="4"/>
  <c r="V9" i="4" s="1"/>
  <c r="W9" i="4" s="1"/>
  <c r="U2" i="4"/>
  <c r="V2" i="4" s="1"/>
  <c r="W2" i="4" s="1"/>
  <c r="U190" i="4"/>
  <c r="V190" i="4" s="1"/>
  <c r="W190" i="4" s="1"/>
  <c r="U73" i="4"/>
  <c r="V73" i="4" s="1"/>
  <c r="W73" i="4" s="1"/>
  <c r="U150" i="4"/>
  <c r="V150" i="4" s="1"/>
  <c r="W150" i="4" s="1"/>
  <c r="U34" i="4"/>
  <c r="V34" i="4" s="1"/>
  <c r="W34" i="4" s="1"/>
  <c r="U191" i="4"/>
  <c r="V191" i="4" s="1"/>
  <c r="W191" i="4" s="1"/>
  <c r="U111" i="4"/>
  <c r="V111" i="4" s="1"/>
  <c r="W111" i="4" s="1"/>
  <c r="U112" i="4"/>
  <c r="V112" i="4" s="1"/>
  <c r="W112" i="4" s="1"/>
  <c r="U151" i="4"/>
  <c r="V151" i="4" s="1"/>
  <c r="W151" i="4" s="1"/>
  <c r="U35" i="4"/>
  <c r="V35" i="4" s="1"/>
  <c r="W35" i="4" s="1"/>
  <c r="U113" i="4"/>
  <c r="V113" i="4" s="1"/>
  <c r="W113" i="4" s="1"/>
  <c r="U36" i="4"/>
  <c r="V36" i="4" s="1"/>
  <c r="W36" i="4" s="1"/>
  <c r="U37" i="4"/>
  <c r="V37" i="4" s="1"/>
  <c r="W37" i="4" s="1"/>
  <c r="U38" i="4"/>
  <c r="V38" i="4" s="1"/>
  <c r="W38" i="4" s="1"/>
  <c r="U192" i="4"/>
  <c r="V192" i="4" s="1"/>
  <c r="W192" i="4" s="1"/>
  <c r="U39" i="4"/>
  <c r="V39" i="4" s="1"/>
  <c r="W39" i="4" s="1"/>
  <c r="U152" i="4"/>
  <c r="V152" i="4" s="1"/>
  <c r="W152" i="4" s="1"/>
  <c r="U193" i="4"/>
  <c r="V193" i="4" s="1"/>
  <c r="W193" i="4" s="1"/>
  <c r="U153" i="4"/>
  <c r="V153" i="4" s="1"/>
  <c r="W153" i="4" s="1"/>
  <c r="U114" i="4"/>
  <c r="V114" i="4" s="1"/>
  <c r="W114" i="4" s="1"/>
  <c r="U154" i="4"/>
  <c r="V154" i="4" s="1"/>
  <c r="W154" i="4" s="1"/>
  <c r="U155" i="4"/>
  <c r="V155" i="4" s="1"/>
  <c r="W155" i="4" s="1"/>
  <c r="U74" i="4"/>
  <c r="V74" i="4" s="1"/>
  <c r="W74" i="4" s="1"/>
  <c r="U40" i="4"/>
  <c r="V40" i="4" s="1"/>
  <c r="W40" i="4" s="1"/>
  <c r="U156" i="4"/>
  <c r="V156" i="4" s="1"/>
  <c r="W156" i="4" s="1"/>
  <c r="U157" i="4"/>
  <c r="V157" i="4" s="1"/>
  <c r="W157" i="4" s="1"/>
  <c r="U75" i="4"/>
  <c r="V75" i="4" s="1"/>
  <c r="W75" i="4" s="1"/>
  <c r="U41" i="4"/>
  <c r="V41" i="4" s="1"/>
  <c r="W41" i="4" s="1"/>
  <c r="U194" i="4"/>
  <c r="V194" i="4" s="1"/>
  <c r="W194" i="4" s="1"/>
  <c r="U158" i="4"/>
  <c r="V158" i="4" s="1"/>
  <c r="W158" i="4" s="1"/>
  <c r="U42" i="4"/>
  <c r="V42" i="4" s="1"/>
  <c r="W42" i="4" s="1"/>
  <c r="U43" i="4"/>
  <c r="V43" i="4" s="1"/>
  <c r="W43" i="4" s="1"/>
  <c r="U44" i="4"/>
  <c r="V44" i="4" s="1"/>
  <c r="W44" i="4" s="1"/>
  <c r="U159" i="4"/>
  <c r="V159" i="4" s="1"/>
  <c r="W159" i="4" s="1"/>
  <c r="U10" i="4"/>
  <c r="V10" i="4" s="1"/>
  <c r="W10" i="4" s="1"/>
  <c r="U11" i="4"/>
  <c r="V11" i="4" s="1"/>
  <c r="W11" i="4" s="1"/>
  <c r="U115" i="4"/>
  <c r="V115" i="4" s="1"/>
  <c r="W115" i="4" s="1"/>
  <c r="U116" i="4"/>
  <c r="V116" i="4" s="1"/>
  <c r="W116" i="4" s="1"/>
  <c r="U160" i="4"/>
  <c r="V160" i="4" s="1"/>
  <c r="W160" i="4" s="1"/>
  <c r="U195" i="4"/>
  <c r="V195" i="4" s="1"/>
  <c r="W195" i="4" s="1"/>
  <c r="U161" i="4"/>
  <c r="V161" i="4" s="1"/>
  <c r="W161" i="4" s="1"/>
  <c r="U196" i="4"/>
  <c r="V196" i="4" s="1"/>
  <c r="W196" i="4" s="1"/>
  <c r="U12" i="4"/>
  <c r="V12" i="4" s="1"/>
  <c r="W12" i="4" s="1"/>
  <c r="U162" i="4"/>
  <c r="V162" i="4" s="1"/>
  <c r="W162" i="4" s="1"/>
  <c r="U117" i="4"/>
  <c r="V117" i="4" s="1"/>
  <c r="W117" i="4" s="1"/>
  <c r="U13" i="4"/>
  <c r="V13" i="4" s="1"/>
  <c r="W13" i="4" s="1"/>
  <c r="U45" i="4"/>
  <c r="V45" i="4" s="1"/>
  <c r="W45" i="4" s="1"/>
  <c r="U163" i="4"/>
  <c r="V163" i="4" s="1"/>
  <c r="W163" i="4" s="1"/>
  <c r="U76" i="4"/>
  <c r="V76" i="4" s="1"/>
  <c r="W76" i="4" s="1"/>
  <c r="U164" i="4"/>
  <c r="V164" i="4" s="1"/>
  <c r="W164" i="4" s="1"/>
  <c r="U197" i="4"/>
  <c r="V197" i="4" s="1"/>
  <c r="W197" i="4" s="1"/>
  <c r="U198" i="4"/>
  <c r="V198" i="4" s="1"/>
  <c r="W198" i="4" s="1"/>
  <c r="U118" i="4"/>
  <c r="V118" i="4" s="1"/>
  <c r="W118" i="4" s="1"/>
  <c r="U77" i="4"/>
  <c r="V77" i="4" s="1"/>
  <c r="W77" i="4" s="1"/>
  <c r="U199" i="4"/>
  <c r="V199" i="4" s="1"/>
  <c r="W199" i="4" s="1"/>
  <c r="U165" i="4"/>
  <c r="V165" i="4" s="1"/>
  <c r="W165" i="4" s="1"/>
  <c r="U78" i="4"/>
  <c r="V78" i="4" s="1"/>
  <c r="W78" i="4" s="1"/>
  <c r="U166" i="4"/>
  <c r="V166" i="4" s="1"/>
  <c r="W166" i="4" s="1"/>
  <c r="U167" i="4"/>
  <c r="V167" i="4" s="1"/>
  <c r="W167" i="4" s="1"/>
  <c r="U14" i="4"/>
  <c r="V14" i="4" s="1"/>
  <c r="W14" i="4" s="1"/>
  <c r="U119" i="4"/>
  <c r="V119" i="4" s="1"/>
  <c r="W119" i="4" s="1"/>
  <c r="U15" i="4"/>
  <c r="V15" i="4" s="1"/>
  <c r="W15" i="4" s="1"/>
  <c r="U79" i="4"/>
  <c r="V79" i="4" s="1"/>
  <c r="W79" i="4" s="1"/>
  <c r="U200" i="4"/>
  <c r="V200" i="4" s="1"/>
  <c r="W200" i="4" s="1"/>
  <c r="U16" i="4"/>
  <c r="V16" i="4" s="1"/>
  <c r="W16" i="4" s="1"/>
  <c r="U120" i="4"/>
  <c r="V120" i="4" s="1"/>
  <c r="W120" i="4" s="1"/>
  <c r="U121" i="4"/>
  <c r="V121" i="4" s="1"/>
  <c r="W121" i="4" s="1"/>
  <c r="U122" i="4"/>
  <c r="V122" i="4" s="1"/>
  <c r="W122" i="4" s="1"/>
  <c r="U168" i="4"/>
  <c r="V168" i="4" s="1"/>
  <c r="W168" i="4" s="1"/>
  <c r="U201" i="4"/>
  <c r="V201" i="4" s="1"/>
  <c r="W201" i="4" s="1"/>
  <c r="U123" i="4"/>
  <c r="V123" i="4" s="1"/>
  <c r="W123" i="4" s="1"/>
  <c r="U80" i="4"/>
  <c r="V80" i="4" s="1"/>
  <c r="W80" i="4" s="1"/>
  <c r="U46" i="4"/>
  <c r="V46" i="4" s="1"/>
  <c r="W46" i="4" s="1"/>
  <c r="U47" i="4"/>
  <c r="V47" i="4" s="1"/>
  <c r="W47" i="4" s="1"/>
  <c r="U202" i="4"/>
  <c r="V202" i="4" s="1"/>
  <c r="W202" i="4" s="1"/>
  <c r="U203" i="4"/>
  <c r="V203" i="4" s="1"/>
  <c r="W203" i="4" s="1"/>
  <c r="U48" i="4"/>
  <c r="V48" i="4" s="1"/>
  <c r="W48" i="4" s="1"/>
  <c r="U81" i="4"/>
  <c r="V81" i="4" s="1"/>
  <c r="W81" i="4" s="1"/>
  <c r="U124" i="4"/>
  <c r="V124" i="4" s="1"/>
  <c r="W124" i="4" s="1"/>
  <c r="U49" i="4"/>
  <c r="V49" i="4" s="1"/>
  <c r="W49" i="4" s="1"/>
  <c r="U169" i="4"/>
  <c r="V169" i="4" s="1"/>
  <c r="W169" i="4" s="1"/>
  <c r="U125" i="4"/>
  <c r="V125" i="4" s="1"/>
  <c r="W125" i="4" s="1"/>
  <c r="U50" i="4"/>
  <c r="V50" i="4" s="1"/>
  <c r="W50" i="4" s="1"/>
  <c r="U82" i="4"/>
  <c r="V82" i="4" s="1"/>
  <c r="W82" i="4" s="1"/>
  <c r="U3" i="4"/>
  <c r="V3" i="4" s="1"/>
  <c r="W3" i="4" s="1"/>
  <c r="U4" i="4"/>
  <c r="V4" i="4" s="1"/>
  <c r="W4" i="4" s="1"/>
  <c r="U170" i="4"/>
  <c r="V170" i="4" s="1"/>
  <c r="W170" i="4" s="1"/>
  <c r="U83" i="4"/>
  <c r="V83" i="4" s="1"/>
  <c r="W83" i="4" s="1"/>
  <c r="U171" i="4"/>
  <c r="V171" i="4" s="1"/>
  <c r="W171" i="4" s="1"/>
  <c r="U172" i="4"/>
  <c r="V172" i="4" s="1"/>
  <c r="W172" i="4" s="1"/>
  <c r="U17" i="4"/>
  <c r="V17" i="4" s="1"/>
  <c r="W17" i="4" s="1"/>
  <c r="U173" i="4"/>
  <c r="V173" i="4" s="1"/>
  <c r="W173" i="4" s="1"/>
  <c r="U51" i="4"/>
  <c r="V51" i="4" s="1"/>
  <c r="W51" i="4" s="1"/>
  <c r="U204" i="4"/>
  <c r="V204" i="4" s="1"/>
  <c r="W204" i="4" s="1"/>
  <c r="U84" i="4"/>
  <c r="V84" i="4" s="1"/>
  <c r="W84" i="4" s="1"/>
  <c r="U205" i="4"/>
  <c r="V205" i="4" s="1"/>
  <c r="W205" i="4" s="1"/>
  <c r="U174" i="4"/>
  <c r="V174" i="4" s="1"/>
  <c r="W174" i="4" s="1"/>
  <c r="U85" i="4"/>
  <c r="V85" i="4" s="1"/>
  <c r="W85" i="4" s="1"/>
  <c r="U52" i="4"/>
  <c r="V52" i="4" s="1"/>
  <c r="W52" i="4" s="1"/>
  <c r="U86" i="4"/>
  <c r="V86" i="4" s="1"/>
  <c r="W86" i="4" s="1"/>
  <c r="U206" i="4"/>
  <c r="V206" i="4" s="1"/>
  <c r="W206" i="4" s="1"/>
  <c r="U126" i="4"/>
  <c r="V126" i="4" s="1"/>
  <c r="W126" i="4" s="1"/>
  <c r="U87" i="4"/>
  <c r="V87" i="4" s="1"/>
  <c r="W87" i="4" s="1"/>
  <c r="U127" i="4"/>
  <c r="V127" i="4" s="1"/>
  <c r="W127" i="4" s="1"/>
  <c r="U53" i="4"/>
  <c r="V53" i="4" s="1"/>
  <c r="W53" i="4" s="1"/>
  <c r="U88" i="4"/>
  <c r="V88" i="4" s="1"/>
  <c r="W88" i="4" s="1"/>
  <c r="U54" i="4"/>
  <c r="V54" i="4" s="1"/>
  <c r="W54" i="4" s="1"/>
  <c r="U55" i="4"/>
  <c r="V55" i="4" s="1"/>
  <c r="W55" i="4" s="1"/>
  <c r="U175" i="4"/>
  <c r="V175" i="4" s="1"/>
  <c r="W175" i="4" s="1"/>
  <c r="U89" i="4"/>
  <c r="V89" i="4" s="1"/>
  <c r="W89" i="4" s="1"/>
  <c r="U90" i="4"/>
  <c r="V90" i="4" s="1"/>
  <c r="W90" i="4" s="1"/>
  <c r="U207" i="4"/>
  <c r="V207" i="4" s="1"/>
  <c r="W207" i="4" s="1"/>
  <c r="U208" i="4"/>
  <c r="V208" i="4" s="1"/>
  <c r="W208" i="4" s="1"/>
  <c r="U56" i="4"/>
  <c r="V56" i="4" s="1"/>
  <c r="W56" i="4" s="1"/>
  <c r="U18" i="4"/>
  <c r="V18" i="4" s="1"/>
  <c r="W18" i="4" s="1"/>
  <c r="U176" i="4"/>
  <c r="V176" i="4" s="1"/>
  <c r="W176" i="4" s="1"/>
  <c r="U177" i="4"/>
  <c r="V177" i="4" s="1"/>
  <c r="W177" i="4" s="1"/>
  <c r="U178" i="4"/>
  <c r="V178" i="4" s="1"/>
  <c r="W178" i="4" s="1"/>
  <c r="U209" i="4"/>
  <c r="V209" i="4" s="1"/>
  <c r="W209" i="4" s="1"/>
  <c r="U128" i="4"/>
  <c r="V128" i="4" s="1"/>
  <c r="W128" i="4" s="1"/>
  <c r="U129" i="4"/>
  <c r="V129" i="4" s="1"/>
  <c r="W129" i="4" s="1"/>
  <c r="U19" i="4"/>
  <c r="V19" i="4" s="1"/>
  <c r="W19" i="4" s="1"/>
  <c r="U20" i="4"/>
  <c r="V20" i="4" s="1"/>
  <c r="W20" i="4" s="1"/>
  <c r="U179" i="4"/>
  <c r="V179" i="4" s="1"/>
  <c r="W179" i="4" s="1"/>
  <c r="U210" i="4"/>
  <c r="V210" i="4" s="1"/>
  <c r="W210" i="4" s="1"/>
  <c r="U130" i="4"/>
  <c r="V130" i="4" s="1"/>
  <c r="W130" i="4" s="1"/>
  <c r="U91" i="4"/>
  <c r="V91" i="4" s="1"/>
  <c r="W91" i="4" s="1"/>
  <c r="U211" i="4"/>
  <c r="V211" i="4" s="1"/>
  <c r="W211" i="4" s="1"/>
  <c r="U57" i="4"/>
  <c r="V57" i="4" s="1"/>
  <c r="W57" i="4" s="1"/>
  <c r="U212" i="4"/>
  <c r="V212" i="4" s="1"/>
  <c r="W212" i="4" s="1"/>
  <c r="U58" i="4"/>
  <c r="V58" i="4" s="1"/>
  <c r="W58" i="4" s="1"/>
  <c r="U21" i="4"/>
  <c r="V21" i="4" s="1"/>
  <c r="W21" i="4" s="1"/>
  <c r="U92" i="4"/>
  <c r="V92" i="4" s="1"/>
  <c r="W92" i="4" s="1"/>
  <c r="U22" i="4"/>
  <c r="V22" i="4" s="1"/>
  <c r="W22" i="4" s="1"/>
  <c r="U93" i="4"/>
  <c r="V93" i="4" s="1"/>
  <c r="W93" i="4" s="1"/>
  <c r="U131" i="4"/>
  <c r="V131" i="4" s="1"/>
  <c r="W131" i="4" s="1"/>
  <c r="U213" i="4"/>
  <c r="V213" i="4" s="1"/>
  <c r="W213" i="4" s="1"/>
  <c r="U23" i="4"/>
  <c r="V23" i="4" s="1"/>
  <c r="W23" i="4" s="1"/>
  <c r="U94" i="4"/>
  <c r="V94" i="4" s="1"/>
  <c r="W94" i="4" s="1"/>
  <c r="U24" i="4"/>
  <c r="V24" i="4" s="1"/>
  <c r="W24" i="4" s="1"/>
  <c r="U180" i="4"/>
  <c r="V180" i="4" s="1"/>
  <c r="W180" i="4" s="1"/>
  <c r="U181" i="4"/>
  <c r="V181" i="4" s="1"/>
  <c r="W181" i="4" s="1"/>
  <c r="U25" i="4"/>
  <c r="V25" i="4" s="1"/>
  <c r="W25" i="4" s="1"/>
  <c r="U132" i="4"/>
  <c r="V132" i="4" s="1"/>
  <c r="W132" i="4" s="1"/>
  <c r="U59" i="4"/>
  <c r="V59" i="4" s="1"/>
  <c r="W59" i="4" s="1"/>
  <c r="U26" i="4"/>
  <c r="V26" i="4" s="1"/>
  <c r="W26" i="4" s="1"/>
  <c r="U214" i="4"/>
  <c r="V214" i="4" s="1"/>
  <c r="W214" i="4" s="1"/>
  <c r="U215" i="4"/>
  <c r="V215" i="4" s="1"/>
  <c r="W215" i="4" s="1"/>
  <c r="U182" i="4"/>
  <c r="V182" i="4" s="1"/>
  <c r="W182" i="4" s="1"/>
  <c r="U216" i="4"/>
  <c r="V216" i="4" s="1"/>
  <c r="W216" i="4" s="1"/>
  <c r="U95" i="4"/>
  <c r="V95" i="4" s="1"/>
  <c r="W95" i="4" s="1"/>
  <c r="U217" i="4"/>
  <c r="V217" i="4" s="1"/>
  <c r="W217" i="4" s="1"/>
  <c r="U218" i="4"/>
  <c r="V218" i="4" s="1"/>
  <c r="W218" i="4" s="1"/>
  <c r="U96" i="4"/>
  <c r="V96" i="4" s="1"/>
  <c r="W96" i="4" s="1"/>
  <c r="U133" i="4"/>
  <c r="V133" i="4" s="1"/>
  <c r="W133" i="4" s="1"/>
  <c r="U219" i="4"/>
  <c r="V219" i="4" s="1"/>
  <c r="W219" i="4" s="1"/>
  <c r="U183" i="4"/>
  <c r="V183" i="4" s="1"/>
  <c r="W183" i="4" s="1"/>
  <c r="U134" i="4"/>
  <c r="V134" i="4" s="1"/>
  <c r="W134" i="4" s="1"/>
  <c r="U27" i="4"/>
  <c r="V27" i="4" s="1"/>
  <c r="W27" i="4" s="1"/>
  <c r="U220" i="4"/>
  <c r="V220" i="4" s="1"/>
  <c r="W220" i="4" s="1"/>
  <c r="U221" i="4"/>
  <c r="V221" i="4" s="1"/>
  <c r="W221" i="4" s="1"/>
  <c r="U135" i="4"/>
  <c r="V135" i="4" s="1"/>
  <c r="W135" i="4" s="1"/>
  <c r="U97" i="4"/>
  <c r="V97" i="4" s="1"/>
  <c r="W97" i="4" s="1"/>
  <c r="U60" i="4"/>
  <c r="V60" i="4" s="1"/>
  <c r="W60" i="4" s="1"/>
  <c r="U136" i="4"/>
  <c r="V136" i="4" s="1"/>
  <c r="W136" i="4" s="1"/>
  <c r="U28" i="4"/>
  <c r="V28" i="4" s="1"/>
  <c r="W28" i="4" s="1"/>
  <c r="U222" i="4"/>
  <c r="V222" i="4" s="1"/>
  <c r="W222" i="4" s="1"/>
  <c r="U137" i="4"/>
  <c r="V137" i="4" s="1"/>
  <c r="W137" i="4" s="1"/>
  <c r="U61" i="4"/>
  <c r="V61" i="4" s="1"/>
  <c r="W61" i="4" s="1"/>
  <c r="U223" i="4"/>
  <c r="V223" i="4" s="1"/>
  <c r="W223" i="4" s="1"/>
  <c r="U138" i="4"/>
  <c r="V138" i="4" s="1"/>
  <c r="W138" i="4" s="1"/>
  <c r="U184" i="4"/>
  <c r="V184" i="4" s="1"/>
  <c r="W184" i="4" s="1"/>
  <c r="U224" i="4"/>
  <c r="V224" i="4" s="1"/>
  <c r="W224" i="4" s="1"/>
  <c r="U139" i="4"/>
  <c r="V139" i="4" s="1"/>
  <c r="W139" i="4" s="1"/>
  <c r="U29" i="4"/>
  <c r="V29" i="4" s="1"/>
  <c r="W29" i="4" s="1"/>
  <c r="U30" i="4"/>
  <c r="V30" i="4" s="1"/>
  <c r="W30" i="4" s="1"/>
  <c r="U185" i="4"/>
  <c r="V185" i="4" s="1"/>
  <c r="W185" i="4" s="1"/>
  <c r="U62" i="4"/>
  <c r="V62" i="4" s="1"/>
  <c r="W62" i="4" s="1"/>
  <c r="U98" i="4"/>
  <c r="V98" i="4" s="1"/>
  <c r="W98" i="4" s="1"/>
  <c r="U225" i="4"/>
  <c r="V225" i="4" s="1"/>
  <c r="W225" i="4" s="1"/>
  <c r="U140" i="4"/>
  <c r="V140" i="4" s="1"/>
  <c r="W140" i="4" s="1"/>
  <c r="U186" i="4"/>
  <c r="V186" i="4" s="1"/>
  <c r="W186" i="4" s="1"/>
  <c r="U141" i="4"/>
  <c r="V141" i="4" s="1"/>
  <c r="W141" i="4" s="1"/>
  <c r="U99" i="4"/>
  <c r="V99" i="4" s="1"/>
  <c r="W99" i="4" s="1"/>
  <c r="U100" i="4"/>
  <c r="V100" i="4" s="1"/>
  <c r="W100" i="4" s="1"/>
  <c r="U63" i="4"/>
  <c r="V63" i="4" s="1"/>
  <c r="W63" i="4" s="1"/>
  <c r="U187" i="4"/>
  <c r="V187" i="4" s="1"/>
  <c r="W187" i="4" s="1"/>
  <c r="U101" i="4"/>
  <c r="V101" i="4" s="1"/>
  <c r="W101" i="4" s="1"/>
  <c r="U142" i="4"/>
  <c r="V142" i="4" s="1"/>
  <c r="W142" i="4" s="1"/>
  <c r="U64" i="4"/>
  <c r="V64" i="4" s="1"/>
  <c r="W64" i="4" s="1"/>
  <c r="U65" i="4"/>
  <c r="V65" i="4" s="1"/>
  <c r="W65" i="4" s="1"/>
  <c r="U226" i="4"/>
  <c r="V226" i="4" s="1"/>
  <c r="W226" i="4" s="1"/>
  <c r="U143" i="4"/>
  <c r="V143" i="4" s="1"/>
  <c r="W143" i="4" s="1"/>
  <c r="U144" i="4"/>
  <c r="V144" i="4" s="1"/>
  <c r="W144" i="4" s="1"/>
  <c r="U66" i="4"/>
  <c r="V66" i="4" s="1"/>
  <c r="W66" i="4" s="1"/>
  <c r="U67" i="4"/>
  <c r="V67" i="4" s="1"/>
  <c r="W67" i="4" s="1"/>
  <c r="U227" i="4"/>
  <c r="V227" i="4" s="1"/>
  <c r="W227" i="4" s="1"/>
  <c r="Q5" i="4"/>
  <c r="R5" i="4" s="1"/>
  <c r="S5" i="4" s="1"/>
  <c r="Q102" i="4"/>
  <c r="R102" i="4" s="1"/>
  <c r="S102" i="4" s="1"/>
  <c r="Q103" i="4"/>
  <c r="R103" i="4" s="1"/>
  <c r="S103" i="4" s="1"/>
  <c r="Q104" i="4"/>
  <c r="R104" i="4" s="1"/>
  <c r="S104" i="4" s="1"/>
  <c r="Q68" i="4"/>
  <c r="R68" i="4" s="1"/>
  <c r="S68" i="4" s="1"/>
  <c r="Q6" i="4"/>
  <c r="R6" i="4" s="1"/>
  <c r="S6" i="4" s="1"/>
  <c r="Q31" i="4"/>
  <c r="R31" i="4" s="1"/>
  <c r="S31" i="4" s="1"/>
  <c r="Q69" i="4"/>
  <c r="R69" i="4" s="1"/>
  <c r="S69" i="4" s="1"/>
  <c r="Q32" i="4"/>
  <c r="R32" i="4" s="1"/>
  <c r="S32" i="4" s="1"/>
  <c r="Q145" i="4"/>
  <c r="R145" i="4" s="1"/>
  <c r="S145" i="4" s="1"/>
  <c r="Q189" i="4"/>
  <c r="R189" i="4" s="1"/>
  <c r="S189" i="4" s="1"/>
  <c r="Q146" i="4"/>
  <c r="R146" i="4" s="1"/>
  <c r="S146" i="4" s="1"/>
  <c r="Q105" i="4"/>
  <c r="R105" i="4" s="1"/>
  <c r="S105" i="4" s="1"/>
  <c r="Q7" i="4"/>
  <c r="R7" i="4" s="1"/>
  <c r="S7" i="4" s="1"/>
  <c r="Q8" i="4"/>
  <c r="R8" i="4" s="1"/>
  <c r="S8" i="4" s="1"/>
  <c r="Q106" i="4"/>
  <c r="R106" i="4" s="1"/>
  <c r="S106" i="4" s="1"/>
  <c r="Q107" i="4"/>
  <c r="R107" i="4" s="1"/>
  <c r="S107" i="4" s="1"/>
  <c r="Q108" i="4"/>
  <c r="R108" i="4" s="1"/>
  <c r="S108" i="4" s="1"/>
  <c r="Q33" i="4"/>
  <c r="R33" i="4" s="1"/>
  <c r="S33" i="4" s="1"/>
  <c r="Q70" i="4"/>
  <c r="R70" i="4" s="1"/>
  <c r="S70" i="4" s="1"/>
  <c r="Q147" i="4"/>
  <c r="R147" i="4" s="1"/>
  <c r="S147" i="4" s="1"/>
  <c r="Q109" i="4"/>
  <c r="R109" i="4" s="1"/>
  <c r="S109" i="4" s="1"/>
  <c r="Q71" i="4"/>
  <c r="R71" i="4" s="1"/>
  <c r="S71" i="4" s="1"/>
  <c r="Q110" i="4"/>
  <c r="R110" i="4" s="1"/>
  <c r="S110" i="4" s="1"/>
  <c r="Q72" i="4"/>
  <c r="R72" i="4" s="1"/>
  <c r="S72" i="4" s="1"/>
  <c r="Q148" i="4"/>
  <c r="R148" i="4" s="1"/>
  <c r="S148" i="4" s="1"/>
  <c r="Q149" i="4"/>
  <c r="R149" i="4" s="1"/>
  <c r="S149" i="4" s="1"/>
  <c r="Q9" i="4"/>
  <c r="R9" i="4" s="1"/>
  <c r="S9" i="4" s="1"/>
  <c r="Q2" i="4"/>
  <c r="R2" i="4" s="1"/>
  <c r="S2" i="4" s="1"/>
  <c r="Q190" i="4"/>
  <c r="R190" i="4" s="1"/>
  <c r="S190" i="4" s="1"/>
  <c r="Q73" i="4"/>
  <c r="R73" i="4" s="1"/>
  <c r="S73" i="4" s="1"/>
  <c r="Q150" i="4"/>
  <c r="R150" i="4" s="1"/>
  <c r="S150" i="4" s="1"/>
  <c r="Q34" i="4"/>
  <c r="R34" i="4" s="1"/>
  <c r="S34" i="4" s="1"/>
  <c r="Q191" i="4"/>
  <c r="R191" i="4" s="1"/>
  <c r="S191" i="4" s="1"/>
  <c r="Q111" i="4"/>
  <c r="R111" i="4" s="1"/>
  <c r="S111" i="4" s="1"/>
  <c r="Q112" i="4"/>
  <c r="R112" i="4" s="1"/>
  <c r="S112" i="4" s="1"/>
  <c r="Q151" i="4"/>
  <c r="R151" i="4" s="1"/>
  <c r="S151" i="4" s="1"/>
  <c r="Q35" i="4"/>
  <c r="R35" i="4" s="1"/>
  <c r="S35" i="4" s="1"/>
  <c r="Q113" i="4"/>
  <c r="R113" i="4" s="1"/>
  <c r="S113" i="4" s="1"/>
  <c r="Q36" i="4"/>
  <c r="R36" i="4" s="1"/>
  <c r="S36" i="4" s="1"/>
  <c r="Q37" i="4"/>
  <c r="R37" i="4" s="1"/>
  <c r="S37" i="4" s="1"/>
  <c r="Q38" i="4"/>
  <c r="R38" i="4" s="1"/>
  <c r="S38" i="4" s="1"/>
  <c r="Q192" i="4"/>
  <c r="R192" i="4" s="1"/>
  <c r="S192" i="4" s="1"/>
  <c r="Q39" i="4"/>
  <c r="R39" i="4" s="1"/>
  <c r="S39" i="4" s="1"/>
  <c r="Q152" i="4"/>
  <c r="R152" i="4" s="1"/>
  <c r="S152" i="4" s="1"/>
  <c r="Q193" i="4"/>
  <c r="R193" i="4" s="1"/>
  <c r="S193" i="4" s="1"/>
  <c r="Q153" i="4"/>
  <c r="R153" i="4" s="1"/>
  <c r="S153" i="4" s="1"/>
  <c r="Q114" i="4"/>
  <c r="R114" i="4" s="1"/>
  <c r="S114" i="4" s="1"/>
  <c r="Q154" i="4"/>
  <c r="R154" i="4" s="1"/>
  <c r="S154" i="4" s="1"/>
  <c r="Q155" i="4"/>
  <c r="R155" i="4" s="1"/>
  <c r="S155" i="4" s="1"/>
  <c r="Q74" i="4"/>
  <c r="R74" i="4" s="1"/>
  <c r="S74" i="4" s="1"/>
  <c r="Q40" i="4"/>
  <c r="R40" i="4" s="1"/>
  <c r="S40" i="4" s="1"/>
  <c r="Q156" i="4"/>
  <c r="R156" i="4" s="1"/>
  <c r="S156" i="4" s="1"/>
  <c r="Q157" i="4"/>
  <c r="R157" i="4" s="1"/>
  <c r="S157" i="4" s="1"/>
  <c r="Q75" i="4"/>
  <c r="R75" i="4" s="1"/>
  <c r="S75" i="4" s="1"/>
  <c r="Q41" i="4"/>
  <c r="R41" i="4" s="1"/>
  <c r="S41" i="4" s="1"/>
  <c r="Q194" i="4"/>
  <c r="R194" i="4" s="1"/>
  <c r="S194" i="4" s="1"/>
  <c r="Q158" i="4"/>
  <c r="R158" i="4" s="1"/>
  <c r="S158" i="4" s="1"/>
  <c r="Q42" i="4"/>
  <c r="R42" i="4" s="1"/>
  <c r="S42" i="4" s="1"/>
  <c r="Q43" i="4"/>
  <c r="R43" i="4" s="1"/>
  <c r="S43" i="4" s="1"/>
  <c r="Q44" i="4"/>
  <c r="R44" i="4" s="1"/>
  <c r="S44" i="4" s="1"/>
  <c r="Q159" i="4"/>
  <c r="R159" i="4" s="1"/>
  <c r="S159" i="4" s="1"/>
  <c r="Q10" i="4"/>
  <c r="R10" i="4" s="1"/>
  <c r="S10" i="4" s="1"/>
  <c r="Q11" i="4"/>
  <c r="R11" i="4" s="1"/>
  <c r="S11" i="4" s="1"/>
  <c r="Q115" i="4"/>
  <c r="R115" i="4" s="1"/>
  <c r="S115" i="4" s="1"/>
  <c r="Q116" i="4"/>
  <c r="R116" i="4" s="1"/>
  <c r="S116" i="4" s="1"/>
  <c r="Q160" i="4"/>
  <c r="R160" i="4" s="1"/>
  <c r="S160" i="4" s="1"/>
  <c r="Q195" i="4"/>
  <c r="R195" i="4" s="1"/>
  <c r="S195" i="4" s="1"/>
  <c r="Q161" i="4"/>
  <c r="R161" i="4" s="1"/>
  <c r="S161" i="4" s="1"/>
  <c r="Q196" i="4"/>
  <c r="R196" i="4" s="1"/>
  <c r="S196" i="4" s="1"/>
  <c r="Q12" i="4"/>
  <c r="R12" i="4" s="1"/>
  <c r="S12" i="4" s="1"/>
  <c r="Q162" i="4"/>
  <c r="R162" i="4" s="1"/>
  <c r="S162" i="4" s="1"/>
  <c r="Q117" i="4"/>
  <c r="R117" i="4" s="1"/>
  <c r="S117" i="4" s="1"/>
  <c r="Q13" i="4"/>
  <c r="R13" i="4" s="1"/>
  <c r="S13" i="4" s="1"/>
  <c r="Q45" i="4"/>
  <c r="R45" i="4" s="1"/>
  <c r="S45" i="4" s="1"/>
  <c r="Q163" i="4"/>
  <c r="R163" i="4" s="1"/>
  <c r="S163" i="4" s="1"/>
  <c r="Q76" i="4"/>
  <c r="R76" i="4" s="1"/>
  <c r="S76" i="4" s="1"/>
  <c r="Q164" i="4"/>
  <c r="R164" i="4" s="1"/>
  <c r="S164" i="4" s="1"/>
  <c r="Q197" i="4"/>
  <c r="R197" i="4" s="1"/>
  <c r="S197" i="4" s="1"/>
  <c r="Q198" i="4"/>
  <c r="R198" i="4" s="1"/>
  <c r="S198" i="4" s="1"/>
  <c r="Q118" i="4"/>
  <c r="R118" i="4" s="1"/>
  <c r="S118" i="4" s="1"/>
  <c r="Q77" i="4"/>
  <c r="R77" i="4" s="1"/>
  <c r="S77" i="4" s="1"/>
  <c r="Q199" i="4"/>
  <c r="R199" i="4" s="1"/>
  <c r="S199" i="4" s="1"/>
  <c r="Q165" i="4"/>
  <c r="R165" i="4" s="1"/>
  <c r="S165" i="4" s="1"/>
  <c r="Q78" i="4"/>
  <c r="R78" i="4" s="1"/>
  <c r="S78" i="4" s="1"/>
  <c r="Q166" i="4"/>
  <c r="R166" i="4" s="1"/>
  <c r="S166" i="4" s="1"/>
  <c r="Q167" i="4"/>
  <c r="R167" i="4" s="1"/>
  <c r="S167" i="4" s="1"/>
  <c r="Q14" i="4"/>
  <c r="R14" i="4" s="1"/>
  <c r="S14" i="4" s="1"/>
  <c r="Q119" i="4"/>
  <c r="R119" i="4" s="1"/>
  <c r="S119" i="4" s="1"/>
  <c r="Q15" i="4"/>
  <c r="R15" i="4" s="1"/>
  <c r="S15" i="4" s="1"/>
  <c r="Q79" i="4"/>
  <c r="R79" i="4" s="1"/>
  <c r="S79" i="4" s="1"/>
  <c r="Q200" i="4"/>
  <c r="R200" i="4" s="1"/>
  <c r="S200" i="4" s="1"/>
  <c r="Q16" i="4"/>
  <c r="R16" i="4" s="1"/>
  <c r="S16" i="4" s="1"/>
  <c r="Q120" i="4"/>
  <c r="R120" i="4" s="1"/>
  <c r="S120" i="4" s="1"/>
  <c r="Q121" i="4"/>
  <c r="R121" i="4" s="1"/>
  <c r="S121" i="4" s="1"/>
  <c r="Q122" i="4"/>
  <c r="R122" i="4" s="1"/>
  <c r="S122" i="4" s="1"/>
  <c r="Q168" i="4"/>
  <c r="R168" i="4" s="1"/>
  <c r="S168" i="4" s="1"/>
  <c r="Q201" i="4"/>
  <c r="R201" i="4" s="1"/>
  <c r="S201" i="4" s="1"/>
  <c r="Q123" i="4"/>
  <c r="R123" i="4" s="1"/>
  <c r="S123" i="4" s="1"/>
  <c r="Q80" i="4"/>
  <c r="R80" i="4" s="1"/>
  <c r="S80" i="4" s="1"/>
  <c r="Q46" i="4"/>
  <c r="R46" i="4" s="1"/>
  <c r="S46" i="4" s="1"/>
  <c r="Q47" i="4"/>
  <c r="R47" i="4" s="1"/>
  <c r="S47" i="4" s="1"/>
  <c r="Q202" i="4"/>
  <c r="R202" i="4" s="1"/>
  <c r="S202" i="4" s="1"/>
  <c r="Q203" i="4"/>
  <c r="R203" i="4" s="1"/>
  <c r="S203" i="4" s="1"/>
  <c r="Q48" i="4"/>
  <c r="R48" i="4" s="1"/>
  <c r="S48" i="4" s="1"/>
  <c r="Q81" i="4"/>
  <c r="R81" i="4" s="1"/>
  <c r="S81" i="4" s="1"/>
  <c r="Q124" i="4"/>
  <c r="R124" i="4" s="1"/>
  <c r="S124" i="4" s="1"/>
  <c r="Q49" i="4"/>
  <c r="R49" i="4" s="1"/>
  <c r="S49" i="4" s="1"/>
  <c r="Q169" i="4"/>
  <c r="R169" i="4" s="1"/>
  <c r="S169" i="4" s="1"/>
  <c r="Q125" i="4"/>
  <c r="R125" i="4" s="1"/>
  <c r="S125" i="4" s="1"/>
  <c r="Q50" i="4"/>
  <c r="R50" i="4" s="1"/>
  <c r="S50" i="4" s="1"/>
  <c r="Q82" i="4"/>
  <c r="R82" i="4" s="1"/>
  <c r="S82" i="4" s="1"/>
  <c r="Q3" i="4"/>
  <c r="R3" i="4" s="1"/>
  <c r="S3" i="4" s="1"/>
  <c r="Q4" i="4"/>
  <c r="R4" i="4" s="1"/>
  <c r="S4" i="4" s="1"/>
  <c r="Q170" i="4"/>
  <c r="R170" i="4" s="1"/>
  <c r="S170" i="4" s="1"/>
  <c r="Q83" i="4"/>
  <c r="R83" i="4" s="1"/>
  <c r="S83" i="4" s="1"/>
  <c r="Q171" i="4"/>
  <c r="R171" i="4" s="1"/>
  <c r="S171" i="4" s="1"/>
  <c r="Q172" i="4"/>
  <c r="R172" i="4" s="1"/>
  <c r="S172" i="4" s="1"/>
  <c r="Q17" i="4"/>
  <c r="R17" i="4" s="1"/>
  <c r="S17" i="4" s="1"/>
  <c r="Q173" i="4"/>
  <c r="R173" i="4" s="1"/>
  <c r="S173" i="4" s="1"/>
  <c r="Q51" i="4"/>
  <c r="R51" i="4" s="1"/>
  <c r="S51" i="4" s="1"/>
  <c r="Q204" i="4"/>
  <c r="R204" i="4" s="1"/>
  <c r="S204" i="4" s="1"/>
  <c r="Q84" i="4"/>
  <c r="R84" i="4" s="1"/>
  <c r="S84" i="4" s="1"/>
  <c r="Q205" i="4"/>
  <c r="R205" i="4" s="1"/>
  <c r="S205" i="4" s="1"/>
  <c r="Q174" i="4"/>
  <c r="R174" i="4" s="1"/>
  <c r="S174" i="4" s="1"/>
  <c r="Q85" i="4"/>
  <c r="R85" i="4" s="1"/>
  <c r="S85" i="4" s="1"/>
  <c r="Q52" i="4"/>
  <c r="R52" i="4" s="1"/>
  <c r="S52" i="4" s="1"/>
  <c r="Q86" i="4"/>
  <c r="R86" i="4" s="1"/>
  <c r="S86" i="4" s="1"/>
  <c r="Q206" i="4"/>
  <c r="R206" i="4" s="1"/>
  <c r="S206" i="4" s="1"/>
  <c r="Q126" i="4"/>
  <c r="R126" i="4" s="1"/>
  <c r="S126" i="4" s="1"/>
  <c r="Q87" i="4"/>
  <c r="R87" i="4" s="1"/>
  <c r="S87" i="4" s="1"/>
  <c r="Q127" i="4"/>
  <c r="R127" i="4" s="1"/>
  <c r="S127" i="4" s="1"/>
  <c r="Q53" i="4"/>
  <c r="R53" i="4" s="1"/>
  <c r="S53" i="4" s="1"/>
  <c r="Q88" i="4"/>
  <c r="R88" i="4" s="1"/>
  <c r="S88" i="4" s="1"/>
  <c r="Q54" i="4"/>
  <c r="R54" i="4" s="1"/>
  <c r="S54" i="4" s="1"/>
  <c r="Q55" i="4"/>
  <c r="R55" i="4" s="1"/>
  <c r="S55" i="4" s="1"/>
  <c r="Q175" i="4"/>
  <c r="R175" i="4" s="1"/>
  <c r="S175" i="4" s="1"/>
  <c r="Q89" i="4"/>
  <c r="R89" i="4" s="1"/>
  <c r="S89" i="4" s="1"/>
  <c r="Q90" i="4"/>
  <c r="R90" i="4" s="1"/>
  <c r="S90" i="4" s="1"/>
  <c r="Q207" i="4"/>
  <c r="R207" i="4" s="1"/>
  <c r="S207" i="4" s="1"/>
  <c r="Q208" i="4"/>
  <c r="R208" i="4" s="1"/>
  <c r="S208" i="4" s="1"/>
  <c r="Q56" i="4"/>
  <c r="R56" i="4" s="1"/>
  <c r="S56" i="4" s="1"/>
  <c r="Q18" i="4"/>
  <c r="R18" i="4" s="1"/>
  <c r="S18" i="4" s="1"/>
  <c r="Q176" i="4"/>
  <c r="R176" i="4" s="1"/>
  <c r="S176" i="4" s="1"/>
  <c r="Q177" i="4"/>
  <c r="R177" i="4" s="1"/>
  <c r="S177" i="4" s="1"/>
  <c r="Q178" i="4"/>
  <c r="R178" i="4" s="1"/>
  <c r="S178" i="4" s="1"/>
  <c r="Q209" i="4"/>
  <c r="R209" i="4" s="1"/>
  <c r="S209" i="4" s="1"/>
  <c r="Q128" i="4"/>
  <c r="R128" i="4" s="1"/>
  <c r="S128" i="4" s="1"/>
  <c r="Q129" i="4"/>
  <c r="R129" i="4" s="1"/>
  <c r="S129" i="4" s="1"/>
  <c r="Q19" i="4"/>
  <c r="R19" i="4" s="1"/>
  <c r="S19" i="4" s="1"/>
  <c r="Q20" i="4"/>
  <c r="R20" i="4" s="1"/>
  <c r="S20" i="4" s="1"/>
  <c r="Q179" i="4"/>
  <c r="R179" i="4" s="1"/>
  <c r="S179" i="4" s="1"/>
  <c r="Q210" i="4"/>
  <c r="R210" i="4" s="1"/>
  <c r="S210" i="4" s="1"/>
  <c r="Q130" i="4"/>
  <c r="R130" i="4" s="1"/>
  <c r="S130" i="4" s="1"/>
  <c r="Q91" i="4"/>
  <c r="R91" i="4" s="1"/>
  <c r="S91" i="4" s="1"/>
  <c r="Q211" i="4"/>
  <c r="R211" i="4" s="1"/>
  <c r="S211" i="4" s="1"/>
  <c r="Q57" i="4"/>
  <c r="R57" i="4" s="1"/>
  <c r="S57" i="4" s="1"/>
  <c r="Q212" i="4"/>
  <c r="R212" i="4" s="1"/>
  <c r="S212" i="4" s="1"/>
  <c r="Q58" i="4"/>
  <c r="R58" i="4" s="1"/>
  <c r="S58" i="4" s="1"/>
  <c r="Q21" i="4"/>
  <c r="R21" i="4" s="1"/>
  <c r="S21" i="4" s="1"/>
  <c r="Q92" i="4"/>
  <c r="R92" i="4" s="1"/>
  <c r="S92" i="4" s="1"/>
  <c r="Q22" i="4"/>
  <c r="R22" i="4" s="1"/>
  <c r="S22" i="4" s="1"/>
  <c r="Q93" i="4"/>
  <c r="R93" i="4" s="1"/>
  <c r="S93" i="4" s="1"/>
  <c r="Q131" i="4"/>
  <c r="R131" i="4" s="1"/>
  <c r="S131" i="4" s="1"/>
  <c r="Q213" i="4"/>
  <c r="R213" i="4" s="1"/>
  <c r="S213" i="4" s="1"/>
  <c r="Q23" i="4"/>
  <c r="R23" i="4" s="1"/>
  <c r="S23" i="4" s="1"/>
  <c r="Q94" i="4"/>
  <c r="R94" i="4" s="1"/>
  <c r="S94" i="4" s="1"/>
  <c r="Q24" i="4"/>
  <c r="R24" i="4" s="1"/>
  <c r="S24" i="4" s="1"/>
  <c r="Q180" i="4"/>
  <c r="R180" i="4" s="1"/>
  <c r="S180" i="4" s="1"/>
  <c r="Q181" i="4"/>
  <c r="R181" i="4" s="1"/>
  <c r="S181" i="4" s="1"/>
  <c r="Q25" i="4"/>
  <c r="R25" i="4" s="1"/>
  <c r="S25" i="4" s="1"/>
  <c r="Q132" i="4"/>
  <c r="R132" i="4" s="1"/>
  <c r="S132" i="4" s="1"/>
  <c r="Q59" i="4"/>
  <c r="R59" i="4" s="1"/>
  <c r="S59" i="4" s="1"/>
  <c r="Q26" i="4"/>
  <c r="R26" i="4" s="1"/>
  <c r="S26" i="4" s="1"/>
  <c r="Q214" i="4"/>
  <c r="R214" i="4" s="1"/>
  <c r="S214" i="4" s="1"/>
  <c r="Q215" i="4"/>
  <c r="R215" i="4" s="1"/>
  <c r="S215" i="4" s="1"/>
  <c r="Q182" i="4"/>
  <c r="R182" i="4" s="1"/>
  <c r="S182" i="4" s="1"/>
  <c r="Q216" i="4"/>
  <c r="R216" i="4" s="1"/>
  <c r="S216" i="4" s="1"/>
  <c r="Q95" i="4"/>
  <c r="R95" i="4" s="1"/>
  <c r="S95" i="4" s="1"/>
  <c r="Q217" i="4"/>
  <c r="R217" i="4" s="1"/>
  <c r="S217" i="4" s="1"/>
  <c r="Q218" i="4"/>
  <c r="R218" i="4" s="1"/>
  <c r="S218" i="4" s="1"/>
  <c r="Q96" i="4"/>
  <c r="R96" i="4" s="1"/>
  <c r="S96" i="4" s="1"/>
  <c r="Q133" i="4"/>
  <c r="R133" i="4" s="1"/>
  <c r="S133" i="4" s="1"/>
  <c r="Q219" i="4"/>
  <c r="R219" i="4" s="1"/>
  <c r="S219" i="4" s="1"/>
  <c r="Q183" i="4"/>
  <c r="R183" i="4" s="1"/>
  <c r="S183" i="4" s="1"/>
  <c r="Q134" i="4"/>
  <c r="R134" i="4" s="1"/>
  <c r="S134" i="4" s="1"/>
  <c r="Q27" i="4"/>
  <c r="R27" i="4" s="1"/>
  <c r="S27" i="4" s="1"/>
  <c r="Q220" i="4"/>
  <c r="R220" i="4" s="1"/>
  <c r="S220" i="4" s="1"/>
  <c r="Q221" i="4"/>
  <c r="R221" i="4" s="1"/>
  <c r="S221" i="4" s="1"/>
  <c r="Q135" i="4"/>
  <c r="R135" i="4" s="1"/>
  <c r="S135" i="4" s="1"/>
  <c r="Q97" i="4"/>
  <c r="R97" i="4" s="1"/>
  <c r="S97" i="4" s="1"/>
  <c r="Q60" i="4"/>
  <c r="R60" i="4" s="1"/>
  <c r="S60" i="4" s="1"/>
  <c r="Q136" i="4"/>
  <c r="R136" i="4" s="1"/>
  <c r="S136" i="4" s="1"/>
  <c r="Q28" i="4"/>
  <c r="R28" i="4" s="1"/>
  <c r="S28" i="4" s="1"/>
  <c r="Q222" i="4"/>
  <c r="R222" i="4" s="1"/>
  <c r="S222" i="4" s="1"/>
  <c r="Q137" i="4"/>
  <c r="R137" i="4" s="1"/>
  <c r="S137" i="4" s="1"/>
  <c r="Q61" i="4"/>
  <c r="R61" i="4" s="1"/>
  <c r="S61" i="4" s="1"/>
  <c r="Q223" i="4"/>
  <c r="R223" i="4" s="1"/>
  <c r="S223" i="4" s="1"/>
  <c r="Q138" i="4"/>
  <c r="R138" i="4" s="1"/>
  <c r="S138" i="4" s="1"/>
  <c r="Q184" i="4"/>
  <c r="R184" i="4" s="1"/>
  <c r="S184" i="4" s="1"/>
  <c r="Q224" i="4"/>
  <c r="R224" i="4" s="1"/>
  <c r="S224" i="4" s="1"/>
  <c r="Q139" i="4"/>
  <c r="R139" i="4" s="1"/>
  <c r="S139" i="4" s="1"/>
  <c r="Q29" i="4"/>
  <c r="R29" i="4" s="1"/>
  <c r="S29" i="4" s="1"/>
  <c r="Q30" i="4"/>
  <c r="R30" i="4" s="1"/>
  <c r="S30" i="4" s="1"/>
  <c r="Q185" i="4"/>
  <c r="R185" i="4" s="1"/>
  <c r="S185" i="4" s="1"/>
  <c r="Q62" i="4"/>
  <c r="R62" i="4" s="1"/>
  <c r="S62" i="4" s="1"/>
  <c r="Q98" i="4"/>
  <c r="R98" i="4" s="1"/>
  <c r="S98" i="4" s="1"/>
  <c r="Q225" i="4"/>
  <c r="R225" i="4" s="1"/>
  <c r="S225" i="4" s="1"/>
  <c r="Q140" i="4"/>
  <c r="R140" i="4" s="1"/>
  <c r="S140" i="4" s="1"/>
  <c r="Q186" i="4"/>
  <c r="R186" i="4" s="1"/>
  <c r="S186" i="4" s="1"/>
  <c r="Q141" i="4"/>
  <c r="R141" i="4" s="1"/>
  <c r="S141" i="4" s="1"/>
  <c r="Q99" i="4"/>
  <c r="R99" i="4" s="1"/>
  <c r="S99" i="4" s="1"/>
  <c r="Q100" i="4"/>
  <c r="R100" i="4" s="1"/>
  <c r="S100" i="4" s="1"/>
  <c r="Q63" i="4"/>
  <c r="R63" i="4" s="1"/>
  <c r="S63" i="4" s="1"/>
  <c r="Q187" i="4"/>
  <c r="R187" i="4" s="1"/>
  <c r="S187" i="4" s="1"/>
  <c r="Q101" i="4"/>
  <c r="R101" i="4" s="1"/>
  <c r="S101" i="4" s="1"/>
  <c r="Q142" i="4"/>
  <c r="R142" i="4" s="1"/>
  <c r="S142" i="4" s="1"/>
  <c r="Q64" i="4"/>
  <c r="R64" i="4" s="1"/>
  <c r="S64" i="4" s="1"/>
  <c r="Q65" i="4"/>
  <c r="R65" i="4" s="1"/>
  <c r="S65" i="4" s="1"/>
  <c r="Q226" i="4"/>
  <c r="R226" i="4" s="1"/>
  <c r="S226" i="4" s="1"/>
  <c r="Q143" i="4"/>
  <c r="R143" i="4" s="1"/>
  <c r="S143" i="4" s="1"/>
  <c r="Q144" i="4"/>
  <c r="R144" i="4" s="1"/>
  <c r="S144" i="4" s="1"/>
  <c r="Q66" i="4"/>
  <c r="R66" i="4" s="1"/>
  <c r="S66" i="4" s="1"/>
  <c r="Q67" i="4"/>
  <c r="R67" i="4" s="1"/>
  <c r="S67" i="4" s="1"/>
  <c r="Q227" i="4"/>
  <c r="R227" i="4" s="1"/>
  <c r="S227" i="4" s="1"/>
  <c r="M5" i="4"/>
  <c r="N5" i="4" s="1"/>
  <c r="O5" i="4" s="1"/>
  <c r="M102" i="4"/>
  <c r="N102" i="4" s="1"/>
  <c r="O102" i="4" s="1"/>
  <c r="M103" i="4"/>
  <c r="N103" i="4" s="1"/>
  <c r="O103" i="4" s="1"/>
  <c r="M104" i="4"/>
  <c r="N104" i="4" s="1"/>
  <c r="O104" i="4" s="1"/>
  <c r="M68" i="4"/>
  <c r="N68" i="4" s="1"/>
  <c r="O68" i="4" s="1"/>
  <c r="M6" i="4"/>
  <c r="N6" i="4" s="1"/>
  <c r="O6" i="4" s="1"/>
  <c r="M31" i="4"/>
  <c r="N31" i="4" s="1"/>
  <c r="O31" i="4" s="1"/>
  <c r="M69" i="4"/>
  <c r="N69" i="4" s="1"/>
  <c r="O69" i="4" s="1"/>
  <c r="M32" i="4"/>
  <c r="N32" i="4" s="1"/>
  <c r="O32" i="4" s="1"/>
  <c r="M145" i="4"/>
  <c r="N145" i="4" s="1"/>
  <c r="O145" i="4" s="1"/>
  <c r="M189" i="4"/>
  <c r="N189" i="4" s="1"/>
  <c r="O189" i="4" s="1"/>
  <c r="M146" i="4"/>
  <c r="N146" i="4" s="1"/>
  <c r="O146" i="4" s="1"/>
  <c r="M105" i="4"/>
  <c r="N105" i="4" s="1"/>
  <c r="O105" i="4" s="1"/>
  <c r="M7" i="4"/>
  <c r="N7" i="4" s="1"/>
  <c r="O7" i="4" s="1"/>
  <c r="M8" i="4"/>
  <c r="N8" i="4" s="1"/>
  <c r="O8" i="4" s="1"/>
  <c r="M106" i="4"/>
  <c r="N106" i="4" s="1"/>
  <c r="O106" i="4" s="1"/>
  <c r="M107" i="4"/>
  <c r="N107" i="4" s="1"/>
  <c r="O107" i="4" s="1"/>
  <c r="M108" i="4"/>
  <c r="N108" i="4" s="1"/>
  <c r="O108" i="4" s="1"/>
  <c r="M33" i="4"/>
  <c r="N33" i="4" s="1"/>
  <c r="O33" i="4" s="1"/>
  <c r="M70" i="4"/>
  <c r="N70" i="4" s="1"/>
  <c r="O70" i="4" s="1"/>
  <c r="M147" i="4"/>
  <c r="N147" i="4" s="1"/>
  <c r="O147" i="4" s="1"/>
  <c r="M109" i="4"/>
  <c r="N109" i="4" s="1"/>
  <c r="O109" i="4" s="1"/>
  <c r="M71" i="4"/>
  <c r="N71" i="4" s="1"/>
  <c r="O71" i="4" s="1"/>
  <c r="M110" i="4"/>
  <c r="N110" i="4" s="1"/>
  <c r="O110" i="4" s="1"/>
  <c r="M72" i="4"/>
  <c r="N72" i="4" s="1"/>
  <c r="O72" i="4" s="1"/>
  <c r="M148" i="4"/>
  <c r="N148" i="4" s="1"/>
  <c r="O148" i="4" s="1"/>
  <c r="M149" i="4"/>
  <c r="N149" i="4" s="1"/>
  <c r="O149" i="4" s="1"/>
  <c r="M9" i="4"/>
  <c r="N9" i="4" s="1"/>
  <c r="O9" i="4" s="1"/>
  <c r="M2" i="4"/>
  <c r="N2" i="4" s="1"/>
  <c r="O2" i="4" s="1"/>
  <c r="M190" i="4"/>
  <c r="N190" i="4" s="1"/>
  <c r="O190" i="4" s="1"/>
  <c r="M73" i="4"/>
  <c r="N73" i="4" s="1"/>
  <c r="O73" i="4" s="1"/>
  <c r="M150" i="4"/>
  <c r="N150" i="4" s="1"/>
  <c r="O150" i="4" s="1"/>
  <c r="M34" i="4"/>
  <c r="N34" i="4" s="1"/>
  <c r="O34" i="4" s="1"/>
  <c r="M191" i="4"/>
  <c r="N191" i="4" s="1"/>
  <c r="O191" i="4" s="1"/>
  <c r="M111" i="4"/>
  <c r="N111" i="4" s="1"/>
  <c r="O111" i="4" s="1"/>
  <c r="M112" i="4"/>
  <c r="N112" i="4" s="1"/>
  <c r="O112" i="4" s="1"/>
  <c r="M151" i="4"/>
  <c r="N151" i="4" s="1"/>
  <c r="O151" i="4" s="1"/>
  <c r="M35" i="4"/>
  <c r="N35" i="4" s="1"/>
  <c r="O35" i="4" s="1"/>
  <c r="M113" i="4"/>
  <c r="N113" i="4" s="1"/>
  <c r="O113" i="4" s="1"/>
  <c r="M36" i="4"/>
  <c r="N36" i="4" s="1"/>
  <c r="O36" i="4" s="1"/>
  <c r="M37" i="4"/>
  <c r="N37" i="4" s="1"/>
  <c r="O37" i="4" s="1"/>
  <c r="M38" i="4"/>
  <c r="N38" i="4" s="1"/>
  <c r="O38" i="4" s="1"/>
  <c r="M192" i="4"/>
  <c r="N192" i="4" s="1"/>
  <c r="O192" i="4" s="1"/>
  <c r="M39" i="4"/>
  <c r="N39" i="4" s="1"/>
  <c r="O39" i="4" s="1"/>
  <c r="M152" i="4"/>
  <c r="N152" i="4" s="1"/>
  <c r="O152" i="4" s="1"/>
  <c r="M193" i="4"/>
  <c r="N193" i="4" s="1"/>
  <c r="O193" i="4" s="1"/>
  <c r="M153" i="4"/>
  <c r="N153" i="4" s="1"/>
  <c r="O153" i="4" s="1"/>
  <c r="M114" i="4"/>
  <c r="N114" i="4" s="1"/>
  <c r="O114" i="4" s="1"/>
  <c r="M154" i="4"/>
  <c r="N154" i="4" s="1"/>
  <c r="O154" i="4" s="1"/>
  <c r="M155" i="4"/>
  <c r="N155" i="4" s="1"/>
  <c r="O155" i="4" s="1"/>
  <c r="M74" i="4"/>
  <c r="N74" i="4" s="1"/>
  <c r="O74" i="4" s="1"/>
  <c r="M40" i="4"/>
  <c r="N40" i="4" s="1"/>
  <c r="O40" i="4" s="1"/>
  <c r="M156" i="4"/>
  <c r="N156" i="4" s="1"/>
  <c r="O156" i="4" s="1"/>
  <c r="M157" i="4"/>
  <c r="N157" i="4" s="1"/>
  <c r="O157" i="4" s="1"/>
  <c r="M75" i="4"/>
  <c r="N75" i="4" s="1"/>
  <c r="O75" i="4" s="1"/>
  <c r="M41" i="4"/>
  <c r="N41" i="4" s="1"/>
  <c r="O41" i="4" s="1"/>
  <c r="M194" i="4"/>
  <c r="N194" i="4" s="1"/>
  <c r="O194" i="4" s="1"/>
  <c r="M158" i="4"/>
  <c r="N158" i="4" s="1"/>
  <c r="O158" i="4" s="1"/>
  <c r="M42" i="4"/>
  <c r="N42" i="4" s="1"/>
  <c r="O42" i="4" s="1"/>
  <c r="M43" i="4"/>
  <c r="N43" i="4" s="1"/>
  <c r="O43" i="4" s="1"/>
  <c r="M44" i="4"/>
  <c r="N44" i="4" s="1"/>
  <c r="O44" i="4" s="1"/>
  <c r="M159" i="4"/>
  <c r="N159" i="4" s="1"/>
  <c r="O159" i="4" s="1"/>
  <c r="M10" i="4"/>
  <c r="N10" i="4" s="1"/>
  <c r="O10" i="4" s="1"/>
  <c r="M11" i="4"/>
  <c r="N11" i="4" s="1"/>
  <c r="O11" i="4" s="1"/>
  <c r="M115" i="4"/>
  <c r="N115" i="4" s="1"/>
  <c r="O115" i="4" s="1"/>
  <c r="M116" i="4"/>
  <c r="N116" i="4" s="1"/>
  <c r="O116" i="4" s="1"/>
  <c r="M160" i="4"/>
  <c r="N160" i="4" s="1"/>
  <c r="O160" i="4" s="1"/>
  <c r="M195" i="4"/>
  <c r="N195" i="4" s="1"/>
  <c r="O195" i="4" s="1"/>
  <c r="M161" i="4"/>
  <c r="N161" i="4" s="1"/>
  <c r="O161" i="4" s="1"/>
  <c r="M196" i="4"/>
  <c r="N196" i="4" s="1"/>
  <c r="O196" i="4" s="1"/>
  <c r="M12" i="4"/>
  <c r="N12" i="4" s="1"/>
  <c r="O12" i="4" s="1"/>
  <c r="M162" i="4"/>
  <c r="N162" i="4" s="1"/>
  <c r="O162" i="4" s="1"/>
  <c r="M117" i="4"/>
  <c r="N117" i="4" s="1"/>
  <c r="O117" i="4" s="1"/>
  <c r="M13" i="4"/>
  <c r="N13" i="4" s="1"/>
  <c r="O13" i="4" s="1"/>
  <c r="M45" i="4"/>
  <c r="N45" i="4" s="1"/>
  <c r="O45" i="4" s="1"/>
  <c r="M163" i="4"/>
  <c r="N163" i="4" s="1"/>
  <c r="O163" i="4" s="1"/>
  <c r="M76" i="4"/>
  <c r="N76" i="4" s="1"/>
  <c r="O76" i="4" s="1"/>
  <c r="M164" i="4"/>
  <c r="N164" i="4" s="1"/>
  <c r="O164" i="4" s="1"/>
  <c r="M197" i="4"/>
  <c r="N197" i="4" s="1"/>
  <c r="O197" i="4" s="1"/>
  <c r="M198" i="4"/>
  <c r="N198" i="4" s="1"/>
  <c r="O198" i="4" s="1"/>
  <c r="M118" i="4"/>
  <c r="N118" i="4" s="1"/>
  <c r="O118" i="4" s="1"/>
  <c r="M77" i="4"/>
  <c r="N77" i="4" s="1"/>
  <c r="O77" i="4" s="1"/>
  <c r="M199" i="4"/>
  <c r="N199" i="4" s="1"/>
  <c r="O199" i="4" s="1"/>
  <c r="M165" i="4"/>
  <c r="N165" i="4" s="1"/>
  <c r="O165" i="4" s="1"/>
  <c r="M78" i="4"/>
  <c r="N78" i="4" s="1"/>
  <c r="O78" i="4" s="1"/>
  <c r="M166" i="4"/>
  <c r="N166" i="4" s="1"/>
  <c r="O166" i="4" s="1"/>
  <c r="M167" i="4"/>
  <c r="N167" i="4" s="1"/>
  <c r="O167" i="4" s="1"/>
  <c r="M14" i="4"/>
  <c r="N14" i="4" s="1"/>
  <c r="O14" i="4" s="1"/>
  <c r="M119" i="4"/>
  <c r="N119" i="4" s="1"/>
  <c r="O119" i="4" s="1"/>
  <c r="M15" i="4"/>
  <c r="N15" i="4" s="1"/>
  <c r="O15" i="4" s="1"/>
  <c r="M79" i="4"/>
  <c r="N79" i="4" s="1"/>
  <c r="O79" i="4" s="1"/>
  <c r="M200" i="4"/>
  <c r="N200" i="4" s="1"/>
  <c r="O200" i="4" s="1"/>
  <c r="M16" i="4"/>
  <c r="N16" i="4" s="1"/>
  <c r="O16" i="4" s="1"/>
  <c r="M120" i="4"/>
  <c r="N120" i="4" s="1"/>
  <c r="O120" i="4" s="1"/>
  <c r="M121" i="4"/>
  <c r="N121" i="4" s="1"/>
  <c r="O121" i="4" s="1"/>
  <c r="M122" i="4"/>
  <c r="N122" i="4" s="1"/>
  <c r="O122" i="4" s="1"/>
  <c r="M168" i="4"/>
  <c r="N168" i="4" s="1"/>
  <c r="O168" i="4" s="1"/>
  <c r="M201" i="4"/>
  <c r="N201" i="4" s="1"/>
  <c r="O201" i="4" s="1"/>
  <c r="M123" i="4"/>
  <c r="N123" i="4" s="1"/>
  <c r="O123" i="4" s="1"/>
  <c r="M80" i="4"/>
  <c r="N80" i="4" s="1"/>
  <c r="O80" i="4" s="1"/>
  <c r="M46" i="4"/>
  <c r="N46" i="4" s="1"/>
  <c r="O46" i="4" s="1"/>
  <c r="M47" i="4"/>
  <c r="N47" i="4" s="1"/>
  <c r="O47" i="4" s="1"/>
  <c r="M202" i="4"/>
  <c r="N202" i="4" s="1"/>
  <c r="O202" i="4" s="1"/>
  <c r="M203" i="4"/>
  <c r="N203" i="4" s="1"/>
  <c r="O203" i="4" s="1"/>
  <c r="M48" i="4"/>
  <c r="N48" i="4" s="1"/>
  <c r="O48" i="4" s="1"/>
  <c r="M81" i="4"/>
  <c r="N81" i="4" s="1"/>
  <c r="O81" i="4" s="1"/>
  <c r="M124" i="4"/>
  <c r="N124" i="4" s="1"/>
  <c r="O124" i="4" s="1"/>
  <c r="M49" i="4"/>
  <c r="N49" i="4" s="1"/>
  <c r="O49" i="4" s="1"/>
  <c r="M169" i="4"/>
  <c r="N169" i="4" s="1"/>
  <c r="O169" i="4" s="1"/>
  <c r="M125" i="4"/>
  <c r="N125" i="4" s="1"/>
  <c r="O125" i="4" s="1"/>
  <c r="M50" i="4"/>
  <c r="N50" i="4" s="1"/>
  <c r="O50" i="4" s="1"/>
  <c r="M82" i="4"/>
  <c r="N82" i="4" s="1"/>
  <c r="O82" i="4" s="1"/>
  <c r="M3" i="4"/>
  <c r="N3" i="4" s="1"/>
  <c r="O3" i="4" s="1"/>
  <c r="M4" i="4"/>
  <c r="N4" i="4" s="1"/>
  <c r="O4" i="4" s="1"/>
  <c r="M170" i="4"/>
  <c r="N170" i="4" s="1"/>
  <c r="O170" i="4" s="1"/>
  <c r="M83" i="4"/>
  <c r="N83" i="4" s="1"/>
  <c r="O83" i="4" s="1"/>
  <c r="M171" i="4"/>
  <c r="N171" i="4" s="1"/>
  <c r="O171" i="4" s="1"/>
  <c r="M172" i="4"/>
  <c r="N172" i="4" s="1"/>
  <c r="O172" i="4" s="1"/>
  <c r="M17" i="4"/>
  <c r="N17" i="4" s="1"/>
  <c r="O17" i="4" s="1"/>
  <c r="M173" i="4"/>
  <c r="N173" i="4" s="1"/>
  <c r="O173" i="4" s="1"/>
  <c r="M51" i="4"/>
  <c r="N51" i="4" s="1"/>
  <c r="O51" i="4" s="1"/>
  <c r="M204" i="4"/>
  <c r="N204" i="4" s="1"/>
  <c r="O204" i="4" s="1"/>
  <c r="M84" i="4"/>
  <c r="N84" i="4" s="1"/>
  <c r="O84" i="4" s="1"/>
  <c r="M205" i="4"/>
  <c r="N205" i="4" s="1"/>
  <c r="O205" i="4" s="1"/>
  <c r="M174" i="4"/>
  <c r="N174" i="4" s="1"/>
  <c r="O174" i="4" s="1"/>
  <c r="M85" i="4"/>
  <c r="N85" i="4" s="1"/>
  <c r="O85" i="4" s="1"/>
  <c r="M52" i="4"/>
  <c r="N52" i="4" s="1"/>
  <c r="O52" i="4" s="1"/>
  <c r="M86" i="4"/>
  <c r="N86" i="4" s="1"/>
  <c r="O86" i="4" s="1"/>
  <c r="M206" i="4"/>
  <c r="N206" i="4" s="1"/>
  <c r="O206" i="4" s="1"/>
  <c r="M126" i="4"/>
  <c r="N126" i="4" s="1"/>
  <c r="O126" i="4" s="1"/>
  <c r="M87" i="4"/>
  <c r="N87" i="4" s="1"/>
  <c r="O87" i="4" s="1"/>
  <c r="M127" i="4"/>
  <c r="N127" i="4" s="1"/>
  <c r="O127" i="4" s="1"/>
  <c r="M53" i="4"/>
  <c r="N53" i="4" s="1"/>
  <c r="O53" i="4" s="1"/>
  <c r="M88" i="4"/>
  <c r="N88" i="4" s="1"/>
  <c r="O88" i="4" s="1"/>
  <c r="M54" i="4"/>
  <c r="N54" i="4" s="1"/>
  <c r="O54" i="4" s="1"/>
  <c r="M55" i="4"/>
  <c r="N55" i="4" s="1"/>
  <c r="O55" i="4" s="1"/>
  <c r="M175" i="4"/>
  <c r="N175" i="4" s="1"/>
  <c r="O175" i="4" s="1"/>
  <c r="M89" i="4"/>
  <c r="N89" i="4" s="1"/>
  <c r="O89" i="4" s="1"/>
  <c r="M90" i="4"/>
  <c r="N90" i="4" s="1"/>
  <c r="O90" i="4" s="1"/>
  <c r="M207" i="4"/>
  <c r="N207" i="4" s="1"/>
  <c r="O207" i="4" s="1"/>
  <c r="M208" i="4"/>
  <c r="N208" i="4" s="1"/>
  <c r="O208" i="4" s="1"/>
  <c r="M56" i="4"/>
  <c r="N56" i="4" s="1"/>
  <c r="O56" i="4" s="1"/>
  <c r="M18" i="4"/>
  <c r="N18" i="4" s="1"/>
  <c r="O18" i="4" s="1"/>
  <c r="M176" i="4"/>
  <c r="N176" i="4" s="1"/>
  <c r="O176" i="4" s="1"/>
  <c r="M177" i="4"/>
  <c r="N177" i="4" s="1"/>
  <c r="O177" i="4" s="1"/>
  <c r="M178" i="4"/>
  <c r="N178" i="4" s="1"/>
  <c r="O178" i="4" s="1"/>
  <c r="M209" i="4"/>
  <c r="N209" i="4" s="1"/>
  <c r="O209" i="4" s="1"/>
  <c r="M128" i="4"/>
  <c r="N128" i="4" s="1"/>
  <c r="O128" i="4" s="1"/>
  <c r="M129" i="4"/>
  <c r="N129" i="4" s="1"/>
  <c r="O129" i="4" s="1"/>
  <c r="M19" i="4"/>
  <c r="N19" i="4" s="1"/>
  <c r="O19" i="4" s="1"/>
  <c r="M20" i="4"/>
  <c r="N20" i="4" s="1"/>
  <c r="O20" i="4" s="1"/>
  <c r="M179" i="4"/>
  <c r="N179" i="4" s="1"/>
  <c r="O179" i="4" s="1"/>
  <c r="M210" i="4"/>
  <c r="N210" i="4" s="1"/>
  <c r="O210" i="4" s="1"/>
  <c r="M130" i="4"/>
  <c r="N130" i="4" s="1"/>
  <c r="O130" i="4" s="1"/>
  <c r="M91" i="4"/>
  <c r="N91" i="4" s="1"/>
  <c r="O91" i="4" s="1"/>
  <c r="M211" i="4"/>
  <c r="N211" i="4" s="1"/>
  <c r="O211" i="4" s="1"/>
  <c r="M57" i="4"/>
  <c r="N57" i="4" s="1"/>
  <c r="O57" i="4" s="1"/>
  <c r="M212" i="4"/>
  <c r="N212" i="4" s="1"/>
  <c r="O212" i="4" s="1"/>
  <c r="M58" i="4"/>
  <c r="N58" i="4" s="1"/>
  <c r="O58" i="4" s="1"/>
  <c r="M21" i="4"/>
  <c r="N21" i="4" s="1"/>
  <c r="O21" i="4" s="1"/>
  <c r="M92" i="4"/>
  <c r="N92" i="4" s="1"/>
  <c r="O92" i="4" s="1"/>
  <c r="M22" i="4"/>
  <c r="N22" i="4" s="1"/>
  <c r="O22" i="4" s="1"/>
  <c r="M93" i="4"/>
  <c r="N93" i="4" s="1"/>
  <c r="O93" i="4" s="1"/>
  <c r="M131" i="4"/>
  <c r="N131" i="4" s="1"/>
  <c r="O131" i="4" s="1"/>
  <c r="M213" i="4"/>
  <c r="N213" i="4" s="1"/>
  <c r="O213" i="4" s="1"/>
  <c r="M23" i="4"/>
  <c r="N23" i="4" s="1"/>
  <c r="O23" i="4" s="1"/>
  <c r="M94" i="4"/>
  <c r="N94" i="4" s="1"/>
  <c r="O94" i="4" s="1"/>
  <c r="M24" i="4"/>
  <c r="N24" i="4" s="1"/>
  <c r="O24" i="4" s="1"/>
  <c r="M180" i="4"/>
  <c r="N180" i="4" s="1"/>
  <c r="O180" i="4" s="1"/>
  <c r="M181" i="4"/>
  <c r="N181" i="4" s="1"/>
  <c r="O181" i="4" s="1"/>
  <c r="M25" i="4"/>
  <c r="N25" i="4" s="1"/>
  <c r="O25" i="4" s="1"/>
  <c r="M132" i="4"/>
  <c r="N132" i="4" s="1"/>
  <c r="O132" i="4" s="1"/>
  <c r="M59" i="4"/>
  <c r="N59" i="4" s="1"/>
  <c r="O59" i="4" s="1"/>
  <c r="M26" i="4"/>
  <c r="N26" i="4" s="1"/>
  <c r="O26" i="4" s="1"/>
  <c r="M214" i="4"/>
  <c r="N214" i="4" s="1"/>
  <c r="O214" i="4" s="1"/>
  <c r="M215" i="4"/>
  <c r="N215" i="4" s="1"/>
  <c r="O215" i="4" s="1"/>
  <c r="M182" i="4"/>
  <c r="N182" i="4" s="1"/>
  <c r="O182" i="4" s="1"/>
  <c r="M216" i="4"/>
  <c r="N216" i="4" s="1"/>
  <c r="O216" i="4" s="1"/>
  <c r="M95" i="4"/>
  <c r="N95" i="4" s="1"/>
  <c r="O95" i="4" s="1"/>
  <c r="M217" i="4"/>
  <c r="N217" i="4" s="1"/>
  <c r="O217" i="4" s="1"/>
  <c r="M218" i="4"/>
  <c r="N218" i="4" s="1"/>
  <c r="O218" i="4" s="1"/>
  <c r="M96" i="4"/>
  <c r="N96" i="4" s="1"/>
  <c r="O96" i="4" s="1"/>
  <c r="M133" i="4"/>
  <c r="N133" i="4" s="1"/>
  <c r="O133" i="4" s="1"/>
  <c r="M219" i="4"/>
  <c r="N219" i="4" s="1"/>
  <c r="O219" i="4" s="1"/>
  <c r="M183" i="4"/>
  <c r="N183" i="4" s="1"/>
  <c r="O183" i="4" s="1"/>
  <c r="M134" i="4"/>
  <c r="N134" i="4" s="1"/>
  <c r="O134" i="4" s="1"/>
  <c r="M27" i="4"/>
  <c r="N27" i="4" s="1"/>
  <c r="O27" i="4" s="1"/>
  <c r="M220" i="4"/>
  <c r="N220" i="4" s="1"/>
  <c r="O220" i="4" s="1"/>
  <c r="M221" i="4"/>
  <c r="N221" i="4" s="1"/>
  <c r="O221" i="4" s="1"/>
  <c r="M135" i="4"/>
  <c r="N135" i="4" s="1"/>
  <c r="O135" i="4" s="1"/>
  <c r="M97" i="4"/>
  <c r="N97" i="4" s="1"/>
  <c r="O97" i="4" s="1"/>
  <c r="M60" i="4"/>
  <c r="N60" i="4" s="1"/>
  <c r="O60" i="4" s="1"/>
  <c r="M136" i="4"/>
  <c r="N136" i="4" s="1"/>
  <c r="O136" i="4" s="1"/>
  <c r="M28" i="4"/>
  <c r="N28" i="4" s="1"/>
  <c r="O28" i="4" s="1"/>
  <c r="M222" i="4"/>
  <c r="N222" i="4" s="1"/>
  <c r="O222" i="4" s="1"/>
  <c r="M137" i="4"/>
  <c r="N137" i="4" s="1"/>
  <c r="O137" i="4" s="1"/>
  <c r="M61" i="4"/>
  <c r="N61" i="4" s="1"/>
  <c r="O61" i="4" s="1"/>
  <c r="M223" i="4"/>
  <c r="N223" i="4" s="1"/>
  <c r="O223" i="4" s="1"/>
  <c r="M138" i="4"/>
  <c r="N138" i="4" s="1"/>
  <c r="O138" i="4" s="1"/>
  <c r="M184" i="4"/>
  <c r="N184" i="4" s="1"/>
  <c r="O184" i="4" s="1"/>
  <c r="M224" i="4"/>
  <c r="N224" i="4" s="1"/>
  <c r="O224" i="4" s="1"/>
  <c r="M139" i="4"/>
  <c r="N139" i="4" s="1"/>
  <c r="O139" i="4" s="1"/>
  <c r="M29" i="4"/>
  <c r="N29" i="4" s="1"/>
  <c r="O29" i="4" s="1"/>
  <c r="M30" i="4"/>
  <c r="N30" i="4" s="1"/>
  <c r="O30" i="4" s="1"/>
  <c r="M185" i="4"/>
  <c r="N185" i="4" s="1"/>
  <c r="O185" i="4" s="1"/>
  <c r="M62" i="4"/>
  <c r="N62" i="4" s="1"/>
  <c r="O62" i="4" s="1"/>
  <c r="M98" i="4"/>
  <c r="N98" i="4" s="1"/>
  <c r="O98" i="4" s="1"/>
  <c r="M225" i="4"/>
  <c r="N225" i="4" s="1"/>
  <c r="O225" i="4" s="1"/>
  <c r="M140" i="4"/>
  <c r="N140" i="4" s="1"/>
  <c r="O140" i="4" s="1"/>
  <c r="M186" i="4"/>
  <c r="N186" i="4" s="1"/>
  <c r="O186" i="4" s="1"/>
  <c r="M141" i="4"/>
  <c r="N141" i="4" s="1"/>
  <c r="O141" i="4" s="1"/>
  <c r="M99" i="4"/>
  <c r="N99" i="4" s="1"/>
  <c r="O99" i="4" s="1"/>
  <c r="M100" i="4"/>
  <c r="N100" i="4" s="1"/>
  <c r="O100" i="4" s="1"/>
  <c r="M63" i="4"/>
  <c r="N63" i="4" s="1"/>
  <c r="O63" i="4" s="1"/>
  <c r="M187" i="4"/>
  <c r="N187" i="4" s="1"/>
  <c r="O187" i="4" s="1"/>
  <c r="M101" i="4"/>
  <c r="N101" i="4" s="1"/>
  <c r="O101" i="4" s="1"/>
  <c r="M142" i="4"/>
  <c r="N142" i="4" s="1"/>
  <c r="O142" i="4" s="1"/>
  <c r="M64" i="4"/>
  <c r="N64" i="4" s="1"/>
  <c r="O64" i="4" s="1"/>
  <c r="M65" i="4"/>
  <c r="N65" i="4" s="1"/>
  <c r="O65" i="4" s="1"/>
  <c r="M226" i="4"/>
  <c r="N226" i="4" s="1"/>
  <c r="O226" i="4" s="1"/>
  <c r="M143" i="4"/>
  <c r="N143" i="4" s="1"/>
  <c r="O143" i="4" s="1"/>
  <c r="M144" i="4"/>
  <c r="N144" i="4" s="1"/>
  <c r="O144" i="4" s="1"/>
  <c r="M66" i="4"/>
  <c r="N66" i="4" s="1"/>
  <c r="O66" i="4" s="1"/>
  <c r="M67" i="4"/>
  <c r="N67" i="4" s="1"/>
  <c r="O67" i="4" s="1"/>
  <c r="M227" i="4"/>
  <c r="N227" i="4" s="1"/>
  <c r="O227" i="4" s="1"/>
  <c r="Y188" i="4"/>
  <c r="Z188" i="4" s="1"/>
  <c r="AA188" i="4" s="1"/>
  <c r="U188" i="4"/>
  <c r="V188" i="4" s="1"/>
  <c r="W188" i="4" s="1"/>
  <c r="Q188" i="4"/>
  <c r="R188" i="4" s="1"/>
  <c r="S188" i="4" s="1"/>
  <c r="M188" i="4"/>
  <c r="N188" i="4" s="1"/>
  <c r="O188" i="4" s="1"/>
  <c r="E188" i="4"/>
  <c r="K69" i="4"/>
  <c r="K36" i="4"/>
  <c r="K195" i="4"/>
  <c r="K80" i="4"/>
  <c r="J103" i="4"/>
  <c r="K103" i="4" s="1"/>
  <c r="J6" i="4"/>
  <c r="K6" i="4" s="1"/>
  <c r="J69" i="4"/>
  <c r="J145" i="4"/>
  <c r="K145" i="4" s="1"/>
  <c r="J106" i="4"/>
  <c r="K106" i="4" s="1"/>
  <c r="J108" i="4"/>
  <c r="K108" i="4" s="1"/>
  <c r="J72" i="4"/>
  <c r="K72" i="4" s="1"/>
  <c r="J148" i="4"/>
  <c r="K148" i="4" s="1"/>
  <c r="J150" i="4"/>
  <c r="K150" i="4" s="1"/>
  <c r="J111" i="4"/>
  <c r="K111" i="4" s="1"/>
  <c r="J35" i="4"/>
  <c r="K35" i="4" s="1"/>
  <c r="J36" i="4"/>
  <c r="J38" i="4"/>
  <c r="K38" i="4" s="1"/>
  <c r="J114" i="4"/>
  <c r="K114" i="4" s="1"/>
  <c r="J155" i="4"/>
  <c r="K155" i="4" s="1"/>
  <c r="J194" i="4"/>
  <c r="K194" i="4" s="1"/>
  <c r="J158" i="4"/>
  <c r="K158" i="4" s="1"/>
  <c r="J11" i="4"/>
  <c r="K11" i="4" s="1"/>
  <c r="J160" i="4"/>
  <c r="K160" i="4" s="1"/>
  <c r="J196" i="4"/>
  <c r="K196" i="4" s="1"/>
  <c r="J162" i="4"/>
  <c r="K162" i="4" s="1"/>
  <c r="J13" i="4"/>
  <c r="K13" i="4" s="1"/>
  <c r="J198" i="4"/>
  <c r="K198" i="4" s="1"/>
  <c r="J77" i="4"/>
  <c r="K77" i="4" s="1"/>
  <c r="J119" i="4"/>
  <c r="K119" i="4" s="1"/>
  <c r="J15" i="4"/>
  <c r="K15" i="4" s="1"/>
  <c r="J122" i="4"/>
  <c r="K122" i="4" s="1"/>
  <c r="J123" i="4"/>
  <c r="K123" i="4" s="1"/>
  <c r="J47" i="4"/>
  <c r="K47" i="4" s="1"/>
  <c r="J203" i="4"/>
  <c r="K203" i="4" s="1"/>
  <c r="J81" i="4"/>
  <c r="K81" i="4" s="1"/>
  <c r="J82" i="4"/>
  <c r="K82" i="4" s="1"/>
  <c r="J4" i="4"/>
  <c r="K4" i="4" s="1"/>
  <c r="J171" i="4"/>
  <c r="K171" i="4" s="1"/>
  <c r="J173" i="4"/>
  <c r="K173" i="4" s="1"/>
  <c r="J51" i="4"/>
  <c r="K51" i="4" s="1"/>
  <c r="J174" i="4"/>
  <c r="K174" i="4" s="1"/>
  <c r="J86" i="4"/>
  <c r="K86" i="4" s="1"/>
  <c r="J206" i="4"/>
  <c r="K206" i="4" s="1"/>
  <c r="J53" i="4"/>
  <c r="K53" i="4" s="1"/>
  <c r="J55" i="4"/>
  <c r="K55" i="4" s="1"/>
  <c r="J175" i="4"/>
  <c r="K175" i="4" s="1"/>
  <c r="J208" i="4"/>
  <c r="K208" i="4" s="1"/>
  <c r="J176" i="4"/>
  <c r="K176" i="4" s="1"/>
  <c r="J177" i="4"/>
  <c r="K177" i="4" s="1"/>
  <c r="J129" i="4"/>
  <c r="K129" i="4" s="1"/>
  <c r="J179" i="4"/>
  <c r="K179" i="4" s="1"/>
  <c r="J210" i="4"/>
  <c r="K210" i="4" s="1"/>
  <c r="J57" i="4"/>
  <c r="K57" i="4" s="1"/>
  <c r="J21" i="4"/>
  <c r="K21" i="4" s="1"/>
  <c r="J92" i="4"/>
  <c r="K92" i="4" s="1"/>
  <c r="J213" i="4"/>
  <c r="K213" i="4" s="1"/>
  <c r="J24" i="4"/>
  <c r="K24" i="4" s="1"/>
  <c r="J180" i="4"/>
  <c r="K180" i="4" s="1"/>
  <c r="J59" i="4"/>
  <c r="K59" i="4" s="1"/>
  <c r="J215" i="4"/>
  <c r="K215" i="4" s="1"/>
  <c r="J182" i="4"/>
  <c r="K182" i="4" s="1"/>
  <c r="J218" i="4"/>
  <c r="K218" i="4" s="1"/>
  <c r="J219" i="4"/>
  <c r="K219" i="4" s="1"/>
  <c r="J183" i="4"/>
  <c r="K183" i="4" s="1"/>
  <c r="J221" i="4"/>
  <c r="K221" i="4" s="1"/>
  <c r="J60" i="4"/>
  <c r="K60" i="4" s="1"/>
  <c r="J136" i="4"/>
  <c r="K136" i="4" s="1"/>
  <c r="J61" i="4"/>
  <c r="K61" i="4" s="1"/>
  <c r="J184" i="4"/>
  <c r="K184" i="4" s="1"/>
  <c r="J224" i="4"/>
  <c r="K224" i="4" s="1"/>
  <c r="J185" i="4"/>
  <c r="K185" i="4" s="1"/>
  <c r="J225" i="4"/>
  <c r="K225" i="4" s="1"/>
  <c r="J140" i="4"/>
  <c r="K140" i="4" s="1"/>
  <c r="J100" i="4"/>
  <c r="K100" i="4" s="1"/>
  <c r="J101" i="4"/>
  <c r="K101" i="4" s="1"/>
  <c r="J142" i="4"/>
  <c r="K142" i="4" s="1"/>
  <c r="J143" i="4"/>
  <c r="K143" i="4" s="1"/>
  <c r="J67" i="4"/>
  <c r="K67" i="4" s="1"/>
  <c r="J227" i="4"/>
  <c r="K227" i="4" s="1"/>
  <c r="I5" i="4"/>
  <c r="J5" i="4" s="1"/>
  <c r="K5" i="4" s="1"/>
  <c r="I102" i="4"/>
  <c r="J102" i="4" s="1"/>
  <c r="K102" i="4" s="1"/>
  <c r="I103" i="4"/>
  <c r="I104" i="4"/>
  <c r="J104" i="4" s="1"/>
  <c r="K104" i="4" s="1"/>
  <c r="I68" i="4"/>
  <c r="J68" i="4" s="1"/>
  <c r="K68" i="4" s="1"/>
  <c r="I6" i="4"/>
  <c r="I31" i="4"/>
  <c r="J31" i="4" s="1"/>
  <c r="K31" i="4" s="1"/>
  <c r="I69" i="4"/>
  <c r="I32" i="4"/>
  <c r="J32" i="4" s="1"/>
  <c r="K32" i="4" s="1"/>
  <c r="I145" i="4"/>
  <c r="I189" i="4"/>
  <c r="J189" i="4" s="1"/>
  <c r="K189" i="4" s="1"/>
  <c r="I146" i="4"/>
  <c r="J146" i="4" s="1"/>
  <c r="K146" i="4" s="1"/>
  <c r="I105" i="4"/>
  <c r="J105" i="4" s="1"/>
  <c r="K105" i="4" s="1"/>
  <c r="I7" i="4"/>
  <c r="J7" i="4" s="1"/>
  <c r="K7" i="4" s="1"/>
  <c r="I8" i="4"/>
  <c r="J8" i="4" s="1"/>
  <c r="K8" i="4" s="1"/>
  <c r="I106" i="4"/>
  <c r="I107" i="4"/>
  <c r="J107" i="4" s="1"/>
  <c r="K107" i="4" s="1"/>
  <c r="I108" i="4"/>
  <c r="I33" i="4"/>
  <c r="J33" i="4" s="1"/>
  <c r="K33" i="4" s="1"/>
  <c r="I70" i="4"/>
  <c r="J70" i="4" s="1"/>
  <c r="K70" i="4" s="1"/>
  <c r="I147" i="4"/>
  <c r="J147" i="4" s="1"/>
  <c r="K147" i="4" s="1"/>
  <c r="I109" i="4"/>
  <c r="J109" i="4" s="1"/>
  <c r="K109" i="4" s="1"/>
  <c r="I71" i="4"/>
  <c r="J71" i="4" s="1"/>
  <c r="K71" i="4" s="1"/>
  <c r="I110" i="4"/>
  <c r="J110" i="4" s="1"/>
  <c r="K110" i="4" s="1"/>
  <c r="I72" i="4"/>
  <c r="I148" i="4"/>
  <c r="I149" i="4"/>
  <c r="J149" i="4" s="1"/>
  <c r="K149" i="4" s="1"/>
  <c r="I9" i="4"/>
  <c r="J9" i="4" s="1"/>
  <c r="K9" i="4" s="1"/>
  <c r="I2" i="4"/>
  <c r="J2" i="4" s="1"/>
  <c r="K2" i="4" s="1"/>
  <c r="I190" i="4"/>
  <c r="J190" i="4" s="1"/>
  <c r="K190" i="4" s="1"/>
  <c r="I73" i="4"/>
  <c r="J73" i="4" s="1"/>
  <c r="K73" i="4" s="1"/>
  <c r="I150" i="4"/>
  <c r="I34" i="4"/>
  <c r="J34" i="4" s="1"/>
  <c r="K34" i="4" s="1"/>
  <c r="I191" i="4"/>
  <c r="J191" i="4" s="1"/>
  <c r="K191" i="4" s="1"/>
  <c r="I111" i="4"/>
  <c r="I112" i="4"/>
  <c r="J112" i="4" s="1"/>
  <c r="K112" i="4" s="1"/>
  <c r="I151" i="4"/>
  <c r="J151" i="4" s="1"/>
  <c r="K151" i="4" s="1"/>
  <c r="I35" i="4"/>
  <c r="I113" i="4"/>
  <c r="J113" i="4" s="1"/>
  <c r="K113" i="4" s="1"/>
  <c r="I36" i="4"/>
  <c r="I37" i="4"/>
  <c r="J37" i="4" s="1"/>
  <c r="K37" i="4" s="1"/>
  <c r="I38" i="4"/>
  <c r="I192" i="4"/>
  <c r="J192" i="4" s="1"/>
  <c r="K192" i="4" s="1"/>
  <c r="I39" i="4"/>
  <c r="J39" i="4" s="1"/>
  <c r="K39" i="4" s="1"/>
  <c r="I152" i="4"/>
  <c r="J152" i="4" s="1"/>
  <c r="K152" i="4" s="1"/>
  <c r="I193" i="4"/>
  <c r="J193" i="4" s="1"/>
  <c r="K193" i="4" s="1"/>
  <c r="I153" i="4"/>
  <c r="J153" i="4" s="1"/>
  <c r="K153" i="4" s="1"/>
  <c r="I114" i="4"/>
  <c r="I154" i="4"/>
  <c r="J154" i="4" s="1"/>
  <c r="K154" i="4" s="1"/>
  <c r="I155" i="4"/>
  <c r="I74" i="4"/>
  <c r="J74" i="4" s="1"/>
  <c r="K74" i="4" s="1"/>
  <c r="I40" i="4"/>
  <c r="J40" i="4" s="1"/>
  <c r="K40" i="4" s="1"/>
  <c r="I156" i="4"/>
  <c r="J156" i="4" s="1"/>
  <c r="K156" i="4" s="1"/>
  <c r="I157" i="4"/>
  <c r="J157" i="4" s="1"/>
  <c r="K157" i="4" s="1"/>
  <c r="I75" i="4"/>
  <c r="J75" i="4" s="1"/>
  <c r="K75" i="4" s="1"/>
  <c r="I41" i="4"/>
  <c r="J41" i="4" s="1"/>
  <c r="K41" i="4" s="1"/>
  <c r="I194" i="4"/>
  <c r="I158" i="4"/>
  <c r="I42" i="4"/>
  <c r="J42" i="4" s="1"/>
  <c r="K42" i="4" s="1"/>
  <c r="I43" i="4"/>
  <c r="J43" i="4" s="1"/>
  <c r="K43" i="4" s="1"/>
  <c r="I44" i="4"/>
  <c r="J44" i="4" s="1"/>
  <c r="K44" i="4" s="1"/>
  <c r="I159" i="4"/>
  <c r="J159" i="4" s="1"/>
  <c r="K159" i="4" s="1"/>
  <c r="I10" i="4"/>
  <c r="J10" i="4" s="1"/>
  <c r="K10" i="4" s="1"/>
  <c r="I11" i="4"/>
  <c r="I115" i="4"/>
  <c r="J115" i="4" s="1"/>
  <c r="K115" i="4" s="1"/>
  <c r="I116" i="4"/>
  <c r="J116" i="4" s="1"/>
  <c r="K116" i="4" s="1"/>
  <c r="I160" i="4"/>
  <c r="I195" i="4"/>
  <c r="J195" i="4" s="1"/>
  <c r="I161" i="4"/>
  <c r="J161" i="4" s="1"/>
  <c r="K161" i="4" s="1"/>
  <c r="I196" i="4"/>
  <c r="I12" i="4"/>
  <c r="J12" i="4" s="1"/>
  <c r="K12" i="4" s="1"/>
  <c r="I162" i="4"/>
  <c r="I117" i="4"/>
  <c r="J117" i="4" s="1"/>
  <c r="K117" i="4" s="1"/>
  <c r="I13" i="4"/>
  <c r="I45" i="4"/>
  <c r="J45" i="4" s="1"/>
  <c r="K45" i="4" s="1"/>
  <c r="I163" i="4"/>
  <c r="J163" i="4" s="1"/>
  <c r="K163" i="4" s="1"/>
  <c r="I76" i="4"/>
  <c r="J76" i="4" s="1"/>
  <c r="K76" i="4" s="1"/>
  <c r="I164" i="4"/>
  <c r="J164" i="4" s="1"/>
  <c r="K164" i="4" s="1"/>
  <c r="I197" i="4"/>
  <c r="J197" i="4" s="1"/>
  <c r="K197" i="4" s="1"/>
  <c r="I198" i="4"/>
  <c r="I118" i="4"/>
  <c r="J118" i="4" s="1"/>
  <c r="K118" i="4" s="1"/>
  <c r="I77" i="4"/>
  <c r="I199" i="4"/>
  <c r="J199" i="4" s="1"/>
  <c r="K199" i="4" s="1"/>
  <c r="I165" i="4"/>
  <c r="J165" i="4" s="1"/>
  <c r="K165" i="4" s="1"/>
  <c r="I78" i="4"/>
  <c r="J78" i="4" s="1"/>
  <c r="K78" i="4" s="1"/>
  <c r="I166" i="4"/>
  <c r="J166" i="4" s="1"/>
  <c r="K166" i="4" s="1"/>
  <c r="I167" i="4"/>
  <c r="J167" i="4" s="1"/>
  <c r="K167" i="4" s="1"/>
  <c r="I14" i="4"/>
  <c r="J14" i="4" s="1"/>
  <c r="K14" i="4" s="1"/>
  <c r="I119" i="4"/>
  <c r="I15" i="4"/>
  <c r="I79" i="4"/>
  <c r="J79" i="4" s="1"/>
  <c r="K79" i="4" s="1"/>
  <c r="I200" i="4"/>
  <c r="J200" i="4" s="1"/>
  <c r="K200" i="4" s="1"/>
  <c r="I16" i="4"/>
  <c r="J16" i="4" s="1"/>
  <c r="K16" i="4" s="1"/>
  <c r="I120" i="4"/>
  <c r="J120" i="4" s="1"/>
  <c r="K120" i="4" s="1"/>
  <c r="I121" i="4"/>
  <c r="J121" i="4" s="1"/>
  <c r="K121" i="4" s="1"/>
  <c r="I122" i="4"/>
  <c r="I168" i="4"/>
  <c r="J168" i="4" s="1"/>
  <c r="K168" i="4" s="1"/>
  <c r="I201" i="4"/>
  <c r="J201" i="4" s="1"/>
  <c r="K201" i="4" s="1"/>
  <c r="I123" i="4"/>
  <c r="I80" i="4"/>
  <c r="J80" i="4" s="1"/>
  <c r="I46" i="4"/>
  <c r="J46" i="4" s="1"/>
  <c r="K46" i="4" s="1"/>
  <c r="I47" i="4"/>
  <c r="I202" i="4"/>
  <c r="J202" i="4" s="1"/>
  <c r="K202" i="4" s="1"/>
  <c r="I203" i="4"/>
  <c r="I48" i="4"/>
  <c r="J48" i="4" s="1"/>
  <c r="K48" i="4" s="1"/>
  <c r="I81" i="4"/>
  <c r="I124" i="4"/>
  <c r="J124" i="4" s="1"/>
  <c r="K124" i="4" s="1"/>
  <c r="I49" i="4"/>
  <c r="J49" i="4" s="1"/>
  <c r="K49" i="4" s="1"/>
  <c r="I169" i="4"/>
  <c r="J169" i="4" s="1"/>
  <c r="K169" i="4" s="1"/>
  <c r="I125" i="4"/>
  <c r="J125" i="4" s="1"/>
  <c r="K125" i="4" s="1"/>
  <c r="I50" i="4"/>
  <c r="J50" i="4" s="1"/>
  <c r="K50" i="4" s="1"/>
  <c r="I82" i="4"/>
  <c r="I3" i="4"/>
  <c r="J3" i="4" s="1"/>
  <c r="K3" i="4" s="1"/>
  <c r="I4" i="4"/>
  <c r="I170" i="4"/>
  <c r="J170" i="4" s="1"/>
  <c r="K170" i="4" s="1"/>
  <c r="I83" i="4"/>
  <c r="J83" i="4" s="1"/>
  <c r="K83" i="4" s="1"/>
  <c r="I171" i="4"/>
  <c r="I172" i="4"/>
  <c r="J172" i="4" s="1"/>
  <c r="K172" i="4" s="1"/>
  <c r="I17" i="4"/>
  <c r="J17" i="4" s="1"/>
  <c r="K17" i="4" s="1"/>
  <c r="I173" i="4"/>
  <c r="I51" i="4"/>
  <c r="I204" i="4"/>
  <c r="J204" i="4" s="1"/>
  <c r="K204" i="4" s="1"/>
  <c r="I84" i="4"/>
  <c r="J84" i="4" s="1"/>
  <c r="K84" i="4" s="1"/>
  <c r="I205" i="4"/>
  <c r="J205" i="4" s="1"/>
  <c r="K205" i="4" s="1"/>
  <c r="I174" i="4"/>
  <c r="I85" i="4"/>
  <c r="J85" i="4" s="1"/>
  <c r="K85" i="4" s="1"/>
  <c r="I52" i="4"/>
  <c r="J52" i="4" s="1"/>
  <c r="K52" i="4" s="1"/>
  <c r="I86" i="4"/>
  <c r="I206" i="4"/>
  <c r="I126" i="4"/>
  <c r="J126" i="4" s="1"/>
  <c r="K126" i="4" s="1"/>
  <c r="I87" i="4"/>
  <c r="J87" i="4" s="1"/>
  <c r="K87" i="4" s="1"/>
  <c r="I127" i="4"/>
  <c r="J127" i="4" s="1"/>
  <c r="K127" i="4" s="1"/>
  <c r="I53" i="4"/>
  <c r="I88" i="4"/>
  <c r="J88" i="4" s="1"/>
  <c r="K88" i="4" s="1"/>
  <c r="I54" i="4"/>
  <c r="J54" i="4" s="1"/>
  <c r="K54" i="4" s="1"/>
  <c r="I55" i="4"/>
  <c r="I175" i="4"/>
  <c r="I89" i="4"/>
  <c r="J89" i="4" s="1"/>
  <c r="K89" i="4" s="1"/>
  <c r="I90" i="4"/>
  <c r="J90" i="4" s="1"/>
  <c r="K90" i="4" s="1"/>
  <c r="I207" i="4"/>
  <c r="J207" i="4" s="1"/>
  <c r="K207" i="4" s="1"/>
  <c r="I208" i="4"/>
  <c r="I56" i="4"/>
  <c r="J56" i="4" s="1"/>
  <c r="K56" i="4" s="1"/>
  <c r="I18" i="4"/>
  <c r="J18" i="4" s="1"/>
  <c r="K18" i="4" s="1"/>
  <c r="I176" i="4"/>
  <c r="I177" i="4"/>
  <c r="I178" i="4"/>
  <c r="J178" i="4" s="1"/>
  <c r="K178" i="4" s="1"/>
  <c r="I209" i="4"/>
  <c r="J209" i="4" s="1"/>
  <c r="K209" i="4" s="1"/>
  <c r="I128" i="4"/>
  <c r="J128" i="4" s="1"/>
  <c r="K128" i="4" s="1"/>
  <c r="I129" i="4"/>
  <c r="I19" i="4"/>
  <c r="J19" i="4" s="1"/>
  <c r="K19" i="4" s="1"/>
  <c r="I20" i="4"/>
  <c r="J20" i="4" s="1"/>
  <c r="K20" i="4" s="1"/>
  <c r="I179" i="4"/>
  <c r="I210" i="4"/>
  <c r="I130" i="4"/>
  <c r="J130" i="4" s="1"/>
  <c r="K130" i="4" s="1"/>
  <c r="I91" i="4"/>
  <c r="J91" i="4" s="1"/>
  <c r="K91" i="4" s="1"/>
  <c r="I211" i="4"/>
  <c r="J211" i="4" s="1"/>
  <c r="K211" i="4" s="1"/>
  <c r="I57" i="4"/>
  <c r="I212" i="4"/>
  <c r="J212" i="4" s="1"/>
  <c r="K212" i="4" s="1"/>
  <c r="I58" i="4"/>
  <c r="J58" i="4" s="1"/>
  <c r="K58" i="4" s="1"/>
  <c r="I21" i="4"/>
  <c r="I92" i="4"/>
  <c r="I22" i="4"/>
  <c r="J22" i="4" s="1"/>
  <c r="K22" i="4" s="1"/>
  <c r="I93" i="4"/>
  <c r="J93" i="4" s="1"/>
  <c r="K93" i="4" s="1"/>
  <c r="I131" i="4"/>
  <c r="J131" i="4" s="1"/>
  <c r="K131" i="4" s="1"/>
  <c r="I213" i="4"/>
  <c r="I23" i="4"/>
  <c r="J23" i="4" s="1"/>
  <c r="K23" i="4" s="1"/>
  <c r="I94" i="4"/>
  <c r="J94" i="4" s="1"/>
  <c r="K94" i="4" s="1"/>
  <c r="I24" i="4"/>
  <c r="I180" i="4"/>
  <c r="I181" i="4"/>
  <c r="J181" i="4" s="1"/>
  <c r="K181" i="4" s="1"/>
  <c r="I25" i="4"/>
  <c r="J25" i="4" s="1"/>
  <c r="K25" i="4" s="1"/>
  <c r="I132" i="4"/>
  <c r="J132" i="4" s="1"/>
  <c r="K132" i="4" s="1"/>
  <c r="I59" i="4"/>
  <c r="I26" i="4"/>
  <c r="J26" i="4" s="1"/>
  <c r="K26" i="4" s="1"/>
  <c r="I214" i="4"/>
  <c r="J214" i="4" s="1"/>
  <c r="K214" i="4" s="1"/>
  <c r="I215" i="4"/>
  <c r="I182" i="4"/>
  <c r="I216" i="4"/>
  <c r="J216" i="4" s="1"/>
  <c r="K216" i="4" s="1"/>
  <c r="I95" i="4"/>
  <c r="J95" i="4" s="1"/>
  <c r="K95" i="4" s="1"/>
  <c r="I217" i="4"/>
  <c r="J217" i="4" s="1"/>
  <c r="K217" i="4" s="1"/>
  <c r="I218" i="4"/>
  <c r="I96" i="4"/>
  <c r="J96" i="4" s="1"/>
  <c r="K96" i="4" s="1"/>
  <c r="I133" i="4"/>
  <c r="J133" i="4" s="1"/>
  <c r="K133" i="4" s="1"/>
  <c r="I219" i="4"/>
  <c r="I183" i="4"/>
  <c r="I134" i="4"/>
  <c r="J134" i="4" s="1"/>
  <c r="K134" i="4" s="1"/>
  <c r="I27" i="4"/>
  <c r="J27" i="4" s="1"/>
  <c r="K27" i="4" s="1"/>
  <c r="I220" i="4"/>
  <c r="J220" i="4" s="1"/>
  <c r="K220" i="4" s="1"/>
  <c r="I221" i="4"/>
  <c r="I135" i="4"/>
  <c r="J135" i="4" s="1"/>
  <c r="K135" i="4" s="1"/>
  <c r="I97" i="4"/>
  <c r="J97" i="4" s="1"/>
  <c r="K97" i="4" s="1"/>
  <c r="I60" i="4"/>
  <c r="I136" i="4"/>
  <c r="I28" i="4"/>
  <c r="J28" i="4" s="1"/>
  <c r="K28" i="4" s="1"/>
  <c r="I222" i="4"/>
  <c r="J222" i="4" s="1"/>
  <c r="K222" i="4" s="1"/>
  <c r="I137" i="4"/>
  <c r="J137" i="4" s="1"/>
  <c r="K137" i="4" s="1"/>
  <c r="I61" i="4"/>
  <c r="I223" i="4"/>
  <c r="J223" i="4" s="1"/>
  <c r="K223" i="4" s="1"/>
  <c r="I138" i="4"/>
  <c r="J138" i="4" s="1"/>
  <c r="K138" i="4" s="1"/>
  <c r="I184" i="4"/>
  <c r="I224" i="4"/>
  <c r="I139" i="4"/>
  <c r="J139" i="4" s="1"/>
  <c r="K139" i="4" s="1"/>
  <c r="I29" i="4"/>
  <c r="J29" i="4" s="1"/>
  <c r="K29" i="4" s="1"/>
  <c r="I30" i="4"/>
  <c r="J30" i="4" s="1"/>
  <c r="K30" i="4" s="1"/>
  <c r="I185" i="4"/>
  <c r="I62" i="4"/>
  <c r="J62" i="4" s="1"/>
  <c r="K62" i="4" s="1"/>
  <c r="I98" i="4"/>
  <c r="J98" i="4" s="1"/>
  <c r="K98" i="4" s="1"/>
  <c r="I225" i="4"/>
  <c r="I140" i="4"/>
  <c r="I186" i="4"/>
  <c r="J186" i="4" s="1"/>
  <c r="K186" i="4" s="1"/>
  <c r="I141" i="4"/>
  <c r="J141" i="4" s="1"/>
  <c r="K141" i="4" s="1"/>
  <c r="I99" i="4"/>
  <c r="J99" i="4" s="1"/>
  <c r="K99" i="4" s="1"/>
  <c r="I100" i="4"/>
  <c r="I63" i="4"/>
  <c r="J63" i="4" s="1"/>
  <c r="K63" i="4" s="1"/>
  <c r="I187" i="4"/>
  <c r="J187" i="4" s="1"/>
  <c r="K187" i="4" s="1"/>
  <c r="I101" i="4"/>
  <c r="I142" i="4"/>
  <c r="I64" i="4"/>
  <c r="J64" i="4" s="1"/>
  <c r="K64" i="4" s="1"/>
  <c r="I65" i="4"/>
  <c r="J65" i="4" s="1"/>
  <c r="K65" i="4" s="1"/>
  <c r="I226" i="4"/>
  <c r="J226" i="4" s="1"/>
  <c r="K226" i="4" s="1"/>
  <c r="I143" i="4"/>
  <c r="I144" i="4"/>
  <c r="J144" i="4" s="1"/>
  <c r="K144" i="4" s="1"/>
  <c r="I66" i="4"/>
  <c r="J66" i="4" s="1"/>
  <c r="K66" i="4" s="1"/>
  <c r="I67" i="4"/>
  <c r="I227" i="4"/>
  <c r="I188" i="4"/>
  <c r="J188" i="4" s="1"/>
  <c r="K188" i="4" s="1"/>
  <c r="F188" i="4"/>
  <c r="G188" i="4" s="1"/>
  <c r="E5" i="4"/>
  <c r="E102" i="4"/>
  <c r="E103" i="4"/>
  <c r="E104" i="4"/>
  <c r="F104" i="4" s="1"/>
  <c r="G104" i="4" s="1"/>
  <c r="AB104" i="4" s="1"/>
  <c r="E68" i="4"/>
  <c r="E6" i="4"/>
  <c r="E31" i="4"/>
  <c r="E69" i="4"/>
  <c r="F69" i="4" s="1"/>
  <c r="G69" i="4" s="1"/>
  <c r="AB69" i="4" s="1"/>
  <c r="E32" i="4"/>
  <c r="E145" i="4"/>
  <c r="E189" i="4"/>
  <c r="E146" i="4"/>
  <c r="F146" i="4" s="1"/>
  <c r="G146" i="4" s="1"/>
  <c r="AB146" i="4" s="1"/>
  <c r="E105" i="4"/>
  <c r="E7" i="4"/>
  <c r="E8" i="4"/>
  <c r="E106" i="4"/>
  <c r="F106" i="4" s="1"/>
  <c r="G106" i="4" s="1"/>
  <c r="AB106" i="4" s="1"/>
  <c r="E107" i="4"/>
  <c r="E108" i="4"/>
  <c r="E33" i="4"/>
  <c r="F33" i="4" s="1"/>
  <c r="G33" i="4" s="1"/>
  <c r="AB33" i="4" s="1"/>
  <c r="E70" i="4"/>
  <c r="F70" i="4" s="1"/>
  <c r="G70" i="4" s="1"/>
  <c r="AB70" i="4" s="1"/>
  <c r="E147" i="4"/>
  <c r="E109" i="4"/>
  <c r="E71" i="4"/>
  <c r="E110" i="4"/>
  <c r="E72" i="4"/>
  <c r="E148" i="4"/>
  <c r="E149" i="4"/>
  <c r="F149" i="4" s="1"/>
  <c r="G149" i="4" s="1"/>
  <c r="AB149" i="4" s="1"/>
  <c r="E9" i="4"/>
  <c r="F9" i="4" s="1"/>
  <c r="G9" i="4" s="1"/>
  <c r="AB9" i="4" s="1"/>
  <c r="E2" i="4"/>
  <c r="E190" i="4"/>
  <c r="F190" i="4" s="1"/>
  <c r="G190" i="4" s="1"/>
  <c r="E73" i="4"/>
  <c r="E150" i="4"/>
  <c r="E34" i="4"/>
  <c r="E191" i="4"/>
  <c r="E111" i="4"/>
  <c r="E112" i="4"/>
  <c r="F112" i="4" s="1"/>
  <c r="G112" i="4" s="1"/>
  <c r="AB112" i="4" s="1"/>
  <c r="E151" i="4"/>
  <c r="E35" i="4"/>
  <c r="F35" i="4" s="1"/>
  <c r="G35" i="4" s="1"/>
  <c r="AB35" i="4" s="1"/>
  <c r="E113" i="4"/>
  <c r="E36" i="4"/>
  <c r="F36" i="4" s="1"/>
  <c r="G36" i="4" s="1"/>
  <c r="AB36" i="4" s="1"/>
  <c r="E37" i="4"/>
  <c r="E38" i="4"/>
  <c r="E192" i="4"/>
  <c r="F192" i="4" s="1"/>
  <c r="G192" i="4" s="1"/>
  <c r="AB192" i="4" s="1"/>
  <c r="E39" i="4"/>
  <c r="F39" i="4" s="1"/>
  <c r="G39" i="4" s="1"/>
  <c r="AB39" i="4" s="1"/>
  <c r="E152" i="4"/>
  <c r="E193" i="4"/>
  <c r="F193" i="4" s="1"/>
  <c r="G193" i="4" s="1"/>
  <c r="E153" i="4"/>
  <c r="E114" i="4"/>
  <c r="F114" i="4" s="1"/>
  <c r="G114" i="4" s="1"/>
  <c r="AB114" i="4" s="1"/>
  <c r="E154" i="4"/>
  <c r="E155" i="4"/>
  <c r="E74" i="4"/>
  <c r="F74" i="4" s="1"/>
  <c r="G74" i="4" s="1"/>
  <c r="AB74" i="4" s="1"/>
  <c r="E40" i="4"/>
  <c r="F40" i="4" s="1"/>
  <c r="G40" i="4" s="1"/>
  <c r="AB40" i="4" s="1"/>
  <c r="E156" i="4"/>
  <c r="E157" i="4"/>
  <c r="F157" i="4" s="1"/>
  <c r="G157" i="4" s="1"/>
  <c r="E75" i="4"/>
  <c r="E41" i="4"/>
  <c r="E194" i="4"/>
  <c r="E158" i="4"/>
  <c r="E42" i="4"/>
  <c r="E43" i="4"/>
  <c r="F43" i="4" s="1"/>
  <c r="G43" i="4" s="1"/>
  <c r="E44" i="4"/>
  <c r="E159" i="4"/>
  <c r="E10" i="4"/>
  <c r="E11" i="4"/>
  <c r="F11" i="4" s="1"/>
  <c r="G11" i="4" s="1"/>
  <c r="E115" i="4"/>
  <c r="E116" i="4"/>
  <c r="E160" i="4"/>
  <c r="F160" i="4" s="1"/>
  <c r="G160" i="4" s="1"/>
  <c r="AB160" i="4" s="1"/>
  <c r="E195" i="4"/>
  <c r="F195" i="4" s="1"/>
  <c r="G195" i="4" s="1"/>
  <c r="AB195" i="4" s="1"/>
  <c r="E161" i="4"/>
  <c r="E196" i="4"/>
  <c r="E12" i="4"/>
  <c r="E162" i="4"/>
  <c r="E117" i="4"/>
  <c r="E13" i="4"/>
  <c r="E45" i="4"/>
  <c r="F45" i="4" s="1"/>
  <c r="G45" i="4" s="1"/>
  <c r="AB45" i="4" s="1"/>
  <c r="E163" i="4"/>
  <c r="F163" i="4" s="1"/>
  <c r="G163" i="4" s="1"/>
  <c r="E76" i="4"/>
  <c r="E164" i="4"/>
  <c r="F164" i="4" s="1"/>
  <c r="G164" i="4" s="1"/>
  <c r="E197" i="4"/>
  <c r="E198" i="4"/>
  <c r="F198" i="4" s="1"/>
  <c r="G198" i="4" s="1"/>
  <c r="AB198" i="4" s="1"/>
  <c r="E118" i="4"/>
  <c r="E77" i="4"/>
  <c r="E199" i="4"/>
  <c r="F199" i="4" s="1"/>
  <c r="G199" i="4" s="1"/>
  <c r="AB199" i="4" s="1"/>
  <c r="E165" i="4"/>
  <c r="F165" i="4" s="1"/>
  <c r="G165" i="4" s="1"/>
  <c r="E78" i="4"/>
  <c r="E166" i="4"/>
  <c r="F166" i="4" s="1"/>
  <c r="G166" i="4" s="1"/>
  <c r="E167" i="4"/>
  <c r="E14" i="4"/>
  <c r="F14" i="4" s="1"/>
  <c r="G14" i="4" s="1"/>
  <c r="AB14" i="4" s="1"/>
  <c r="E119" i="4"/>
  <c r="E15" i="4"/>
  <c r="E79" i="4"/>
  <c r="E200" i="4"/>
  <c r="F200" i="4" s="1"/>
  <c r="G200" i="4" s="1"/>
  <c r="E16" i="4"/>
  <c r="E120" i="4"/>
  <c r="F120" i="4" s="1"/>
  <c r="G120" i="4" s="1"/>
  <c r="E121" i="4"/>
  <c r="E122" i="4"/>
  <c r="E168" i="4"/>
  <c r="E201" i="4"/>
  <c r="E123" i="4"/>
  <c r="F123" i="4" s="1"/>
  <c r="G123" i="4" s="1"/>
  <c r="AB123" i="4" s="1"/>
  <c r="E80" i="4"/>
  <c r="F80" i="4" s="1"/>
  <c r="G80" i="4" s="1"/>
  <c r="AB80" i="4" s="1"/>
  <c r="E46" i="4"/>
  <c r="E47" i="4"/>
  <c r="E202" i="4"/>
  <c r="E203" i="4"/>
  <c r="E48" i="4"/>
  <c r="E81" i="4"/>
  <c r="E124" i="4"/>
  <c r="F124" i="4" s="1"/>
  <c r="G124" i="4" s="1"/>
  <c r="E49" i="4"/>
  <c r="F49" i="4" s="1"/>
  <c r="G49" i="4" s="1"/>
  <c r="E169" i="4"/>
  <c r="E125" i="4"/>
  <c r="F125" i="4" s="1"/>
  <c r="G125" i="4" s="1"/>
  <c r="E50" i="4"/>
  <c r="E82" i="4"/>
  <c r="F82" i="4" s="1"/>
  <c r="G82" i="4" s="1"/>
  <c r="AB82" i="4" s="1"/>
  <c r="E3" i="4"/>
  <c r="E4" i="4"/>
  <c r="E170" i="4"/>
  <c r="E83" i="4"/>
  <c r="F83" i="4" s="1"/>
  <c r="G83" i="4" s="1"/>
  <c r="E171" i="4"/>
  <c r="E172" i="4"/>
  <c r="F172" i="4" s="1"/>
  <c r="G172" i="4" s="1"/>
  <c r="E17" i="4"/>
  <c r="E173" i="4"/>
  <c r="E51" i="4"/>
  <c r="E204" i="4"/>
  <c r="E84" i="4"/>
  <c r="E205" i="4"/>
  <c r="F205" i="4" s="1"/>
  <c r="G205" i="4" s="1"/>
  <c r="E174" i="4"/>
  <c r="E85" i="4"/>
  <c r="E52" i="4"/>
  <c r="E86" i="4"/>
  <c r="F86" i="4" s="1"/>
  <c r="G86" i="4" s="1"/>
  <c r="AB86" i="4" s="1"/>
  <c r="E206" i="4"/>
  <c r="E126" i="4"/>
  <c r="E87" i="4"/>
  <c r="F87" i="4" s="1"/>
  <c r="G87" i="4" s="1"/>
  <c r="AB87" i="4" s="1"/>
  <c r="E127" i="4"/>
  <c r="F127" i="4" s="1"/>
  <c r="G127" i="4" s="1"/>
  <c r="E53" i="4"/>
  <c r="E88" i="4"/>
  <c r="E54" i="4"/>
  <c r="E55" i="4"/>
  <c r="E175" i="4"/>
  <c r="E89" i="4"/>
  <c r="E90" i="4"/>
  <c r="F90" i="4" s="1"/>
  <c r="G90" i="4" s="1"/>
  <c r="AB90" i="4" s="1"/>
  <c r="E207" i="4"/>
  <c r="F207" i="4" s="1"/>
  <c r="G207" i="4" s="1"/>
  <c r="E208" i="4"/>
  <c r="E56" i="4"/>
  <c r="F56" i="4" s="1"/>
  <c r="G56" i="4" s="1"/>
  <c r="E18" i="4"/>
  <c r="E176" i="4"/>
  <c r="F176" i="4" s="1"/>
  <c r="G176" i="4" s="1"/>
  <c r="AB176" i="4" s="1"/>
  <c r="E177" i="4"/>
  <c r="E178" i="4"/>
  <c r="E209" i="4"/>
  <c r="E128" i="4"/>
  <c r="F128" i="4" s="1"/>
  <c r="G128" i="4" s="1"/>
  <c r="E129" i="4"/>
  <c r="E19" i="4"/>
  <c r="F19" i="4" s="1"/>
  <c r="G19" i="4" s="1"/>
  <c r="E20" i="4"/>
  <c r="E179" i="4"/>
  <c r="F179" i="4" s="1"/>
  <c r="G179" i="4" s="1"/>
  <c r="AB179" i="4" s="1"/>
  <c r="E210" i="4"/>
  <c r="E130" i="4"/>
  <c r="E91" i="4"/>
  <c r="E211" i="4"/>
  <c r="F211" i="4" s="1"/>
  <c r="G211" i="4" s="1"/>
  <c r="E57" i="4"/>
  <c r="E212" i="4"/>
  <c r="E58" i="4"/>
  <c r="E21" i="4"/>
  <c r="E92" i="4"/>
  <c r="E22" i="4"/>
  <c r="E93" i="4"/>
  <c r="F93" i="4" s="1"/>
  <c r="G93" i="4" s="1"/>
  <c r="AB93" i="4" s="1"/>
  <c r="E131" i="4"/>
  <c r="F131" i="4" s="1"/>
  <c r="G131" i="4" s="1"/>
  <c r="AB131" i="4" s="1"/>
  <c r="E213" i="4"/>
  <c r="E23" i="4"/>
  <c r="F23" i="4" s="1"/>
  <c r="G23" i="4" s="1"/>
  <c r="E94" i="4"/>
  <c r="E24" i="4"/>
  <c r="E180" i="4"/>
  <c r="E181" i="4"/>
  <c r="E25" i="4"/>
  <c r="F25" i="4" s="1"/>
  <c r="G25" i="4" s="1"/>
  <c r="AB25" i="4" s="1"/>
  <c r="E132" i="4"/>
  <c r="F132" i="4" s="1"/>
  <c r="G132" i="4" s="1"/>
  <c r="E59" i="4"/>
  <c r="E26" i="4"/>
  <c r="E214" i="4"/>
  <c r="E215" i="4"/>
  <c r="F215" i="4" s="1"/>
  <c r="G215" i="4" s="1"/>
  <c r="AB215" i="4" s="1"/>
  <c r="E182" i="4"/>
  <c r="E216" i="4"/>
  <c r="E95" i="4"/>
  <c r="F95" i="4" s="1"/>
  <c r="G95" i="4" s="1"/>
  <c r="AB95" i="4" s="1"/>
  <c r="E217" i="4"/>
  <c r="F217" i="4" s="1"/>
  <c r="G217" i="4" s="1"/>
  <c r="E218" i="4"/>
  <c r="E96" i="4"/>
  <c r="F96" i="4" s="1"/>
  <c r="G96" i="4" s="1"/>
  <c r="E133" i="4"/>
  <c r="E219" i="4"/>
  <c r="E183" i="4"/>
  <c r="E134" i="4"/>
  <c r="E27" i="4"/>
  <c r="F27" i="4" s="1"/>
  <c r="G27" i="4" s="1"/>
  <c r="AB27" i="4" s="1"/>
  <c r="E220" i="4"/>
  <c r="F220" i="4" s="1"/>
  <c r="G220" i="4" s="1"/>
  <c r="E221" i="4"/>
  <c r="E135" i="4"/>
  <c r="F135" i="4" s="1"/>
  <c r="G135" i="4" s="1"/>
  <c r="E97" i="4"/>
  <c r="E60" i="4"/>
  <c r="F60" i="4" s="1"/>
  <c r="G60" i="4" s="1"/>
  <c r="AB60" i="4" s="1"/>
  <c r="E136" i="4"/>
  <c r="E28" i="4"/>
  <c r="E222" i="4"/>
  <c r="E137" i="4"/>
  <c r="F137" i="4" s="1"/>
  <c r="G137" i="4" s="1"/>
  <c r="E61" i="4"/>
  <c r="E223" i="4"/>
  <c r="F223" i="4" s="1"/>
  <c r="G223" i="4" s="1"/>
  <c r="E138" i="4"/>
  <c r="E184" i="4"/>
  <c r="E224" i="4"/>
  <c r="E139" i="4"/>
  <c r="E29" i="4"/>
  <c r="F29" i="4" s="1"/>
  <c r="G29" i="4" s="1"/>
  <c r="AB29" i="4" s="1"/>
  <c r="E30" i="4"/>
  <c r="F30" i="4" s="1"/>
  <c r="G30" i="4" s="1"/>
  <c r="E185" i="4"/>
  <c r="E62" i="4"/>
  <c r="E98" i="4"/>
  <c r="E225" i="4"/>
  <c r="F225" i="4" s="1"/>
  <c r="G225" i="4" s="1"/>
  <c r="AB225" i="4" s="1"/>
  <c r="E140" i="4"/>
  <c r="E186" i="4"/>
  <c r="E141" i="4"/>
  <c r="F141" i="4" s="1"/>
  <c r="G141" i="4" s="1"/>
  <c r="AB141" i="4" s="1"/>
  <c r="E99" i="4"/>
  <c r="F99" i="4" s="1"/>
  <c r="G99" i="4" s="1"/>
  <c r="E100" i="4"/>
  <c r="E63" i="4"/>
  <c r="F63" i="4" s="1"/>
  <c r="G63" i="4" s="1"/>
  <c r="E187" i="4"/>
  <c r="E101" i="4"/>
  <c r="F101" i="4" s="1"/>
  <c r="G101" i="4" s="1"/>
  <c r="AB101" i="4" s="1"/>
  <c r="E142" i="4"/>
  <c r="E64" i="4"/>
  <c r="E65" i="4"/>
  <c r="F65" i="4" s="1"/>
  <c r="G65" i="4" s="1"/>
  <c r="AB65" i="4" s="1"/>
  <c r="E226" i="4"/>
  <c r="F226" i="4" s="1"/>
  <c r="G226" i="4" s="1"/>
  <c r="E143" i="4"/>
  <c r="E144" i="4"/>
  <c r="F144" i="4" s="1"/>
  <c r="G144" i="4" s="1"/>
  <c r="E66" i="4"/>
  <c r="E67" i="4"/>
  <c r="E227" i="4"/>
  <c r="F110" i="4"/>
  <c r="G110" i="4" s="1"/>
  <c r="F150" i="4"/>
  <c r="G150" i="4" s="1"/>
  <c r="F41" i="4"/>
  <c r="G41" i="4" s="1"/>
  <c r="F162" i="4"/>
  <c r="G162" i="4" s="1"/>
  <c r="F122" i="4"/>
  <c r="G122" i="4" s="1"/>
  <c r="F203" i="4"/>
  <c r="G203" i="4" s="1"/>
  <c r="F173" i="4"/>
  <c r="G173" i="4" s="1"/>
  <c r="F55" i="4"/>
  <c r="G55" i="4" s="1"/>
  <c r="F21" i="4"/>
  <c r="G21" i="4" s="1"/>
  <c r="F24" i="4"/>
  <c r="G24" i="4" s="1"/>
  <c r="F219" i="4"/>
  <c r="G219" i="4" s="1"/>
  <c r="F184" i="4"/>
  <c r="G184" i="4" s="1"/>
  <c r="F67" i="4"/>
  <c r="G67" i="4" s="1"/>
  <c r="F5" i="4"/>
  <c r="G5" i="4" s="1"/>
  <c r="F102" i="4"/>
  <c r="G102" i="4" s="1"/>
  <c r="F103" i="4"/>
  <c r="G103" i="4" s="1"/>
  <c r="F68" i="4"/>
  <c r="G68" i="4" s="1"/>
  <c r="F6" i="4"/>
  <c r="G6" i="4" s="1"/>
  <c r="F31" i="4"/>
  <c r="G31" i="4" s="1"/>
  <c r="F32" i="4"/>
  <c r="G32" i="4" s="1"/>
  <c r="F145" i="4"/>
  <c r="G145" i="4" s="1"/>
  <c r="F189" i="4"/>
  <c r="G189" i="4" s="1"/>
  <c r="F105" i="4"/>
  <c r="G105" i="4" s="1"/>
  <c r="F7" i="4"/>
  <c r="G7" i="4" s="1"/>
  <c r="F8" i="4"/>
  <c r="G8" i="4" s="1"/>
  <c r="F107" i="4"/>
  <c r="G107" i="4" s="1"/>
  <c r="F108" i="4"/>
  <c r="G108" i="4" s="1"/>
  <c r="F147" i="4"/>
  <c r="G147" i="4" s="1"/>
  <c r="AB147" i="4" s="1"/>
  <c r="F109" i="4"/>
  <c r="G109" i="4" s="1"/>
  <c r="F71" i="4"/>
  <c r="G71" i="4" s="1"/>
  <c r="F72" i="4"/>
  <c r="G72" i="4" s="1"/>
  <c r="AB72" i="4" s="1"/>
  <c r="F148" i="4"/>
  <c r="G148" i="4" s="1"/>
  <c r="F73" i="4"/>
  <c r="G73" i="4" s="1"/>
  <c r="F191" i="4"/>
  <c r="G191" i="4" s="1"/>
  <c r="F111" i="4"/>
  <c r="G111" i="4" s="1"/>
  <c r="F113" i="4"/>
  <c r="G113" i="4" s="1"/>
  <c r="F38" i="4"/>
  <c r="G38" i="4" s="1"/>
  <c r="F153" i="4"/>
  <c r="G153" i="4" s="1"/>
  <c r="F154" i="4"/>
  <c r="G154" i="4" s="1"/>
  <c r="F155" i="4"/>
  <c r="G155" i="4" s="1"/>
  <c r="F156" i="4"/>
  <c r="G156" i="4" s="1"/>
  <c r="F75" i="4"/>
  <c r="G75" i="4" s="1"/>
  <c r="F194" i="4"/>
  <c r="G194" i="4" s="1"/>
  <c r="F158" i="4"/>
  <c r="G158" i="4" s="1"/>
  <c r="F42" i="4"/>
  <c r="G42" i="4" s="1"/>
  <c r="F44" i="4"/>
  <c r="G44" i="4" s="1"/>
  <c r="F159" i="4"/>
  <c r="G159" i="4" s="1"/>
  <c r="F10" i="4"/>
  <c r="G10" i="4" s="1"/>
  <c r="F116" i="4"/>
  <c r="G116" i="4" s="1"/>
  <c r="F161" i="4"/>
  <c r="G161" i="4" s="1"/>
  <c r="F196" i="4"/>
  <c r="G196" i="4" s="1"/>
  <c r="F12" i="4"/>
  <c r="G12" i="4" s="1"/>
  <c r="F117" i="4"/>
  <c r="G117" i="4" s="1"/>
  <c r="F13" i="4"/>
  <c r="G13" i="4" s="1"/>
  <c r="F76" i="4"/>
  <c r="G76" i="4" s="1"/>
  <c r="AB76" i="4" s="1"/>
  <c r="F197" i="4"/>
  <c r="G197" i="4" s="1"/>
  <c r="F118" i="4"/>
  <c r="G118" i="4" s="1"/>
  <c r="F77" i="4"/>
  <c r="G77" i="4" s="1"/>
  <c r="F78" i="4"/>
  <c r="G78" i="4" s="1"/>
  <c r="AB78" i="4" s="1"/>
  <c r="F167" i="4"/>
  <c r="G167" i="4" s="1"/>
  <c r="F119" i="4"/>
  <c r="G119" i="4" s="1"/>
  <c r="F15" i="4"/>
  <c r="G15" i="4" s="1"/>
  <c r="F79" i="4"/>
  <c r="G79" i="4" s="1"/>
  <c r="F16" i="4"/>
  <c r="G16" i="4" s="1"/>
  <c r="AB16" i="4" s="1"/>
  <c r="F121" i="4"/>
  <c r="G121" i="4" s="1"/>
  <c r="F168" i="4"/>
  <c r="G168" i="4" s="1"/>
  <c r="F201" i="4"/>
  <c r="G201" i="4" s="1"/>
  <c r="F46" i="4"/>
  <c r="G46" i="4" s="1"/>
  <c r="AB46" i="4" s="1"/>
  <c r="F47" i="4"/>
  <c r="G47" i="4" s="1"/>
  <c r="AB47" i="4" s="1"/>
  <c r="F202" i="4"/>
  <c r="G202" i="4" s="1"/>
  <c r="F48" i="4"/>
  <c r="G48" i="4" s="1"/>
  <c r="F81" i="4"/>
  <c r="G81" i="4" s="1"/>
  <c r="F169" i="4"/>
  <c r="G169" i="4" s="1"/>
  <c r="F50" i="4"/>
  <c r="G50" i="4" s="1"/>
  <c r="F3" i="4"/>
  <c r="G3" i="4" s="1"/>
  <c r="F4" i="4"/>
  <c r="G4" i="4" s="1"/>
  <c r="F170" i="4"/>
  <c r="G170" i="4" s="1"/>
  <c r="F171" i="4"/>
  <c r="G171" i="4" s="1"/>
  <c r="F17" i="4"/>
  <c r="G17" i="4" s="1"/>
  <c r="F51" i="4"/>
  <c r="G51" i="4" s="1"/>
  <c r="F204" i="4"/>
  <c r="G204" i="4" s="1"/>
  <c r="F84" i="4"/>
  <c r="G84" i="4" s="1"/>
  <c r="F174" i="4"/>
  <c r="G174" i="4" s="1"/>
  <c r="F85" i="4"/>
  <c r="G85" i="4" s="1"/>
  <c r="F52" i="4"/>
  <c r="G52" i="4" s="1"/>
  <c r="F206" i="4"/>
  <c r="G206" i="4" s="1"/>
  <c r="F126" i="4"/>
  <c r="G126" i="4" s="1"/>
  <c r="F53" i="4"/>
  <c r="G53" i="4" s="1"/>
  <c r="AB53" i="4" s="1"/>
  <c r="F88" i="4"/>
  <c r="G88" i="4" s="1"/>
  <c r="F54" i="4"/>
  <c r="G54" i="4" s="1"/>
  <c r="F175" i="4"/>
  <c r="G175" i="4" s="1"/>
  <c r="F89" i="4"/>
  <c r="G89" i="4" s="1"/>
  <c r="F208" i="4"/>
  <c r="G208" i="4" s="1"/>
  <c r="F18" i="4"/>
  <c r="G18" i="4" s="1"/>
  <c r="F177" i="4"/>
  <c r="G177" i="4" s="1"/>
  <c r="F178" i="4"/>
  <c r="G178" i="4" s="1"/>
  <c r="F209" i="4"/>
  <c r="G209" i="4" s="1"/>
  <c r="F129" i="4"/>
  <c r="G129" i="4" s="1"/>
  <c r="F20" i="4"/>
  <c r="G20" i="4" s="1"/>
  <c r="F210" i="4"/>
  <c r="G210" i="4" s="1"/>
  <c r="F130" i="4"/>
  <c r="G130" i="4" s="1"/>
  <c r="F91" i="4"/>
  <c r="G91" i="4" s="1"/>
  <c r="F57" i="4"/>
  <c r="G57" i="4" s="1"/>
  <c r="F212" i="4"/>
  <c r="G212" i="4" s="1"/>
  <c r="F58" i="4"/>
  <c r="G58" i="4" s="1"/>
  <c r="F92" i="4"/>
  <c r="G92" i="4" s="1"/>
  <c r="F22" i="4"/>
  <c r="G22" i="4" s="1"/>
  <c r="F213" i="4"/>
  <c r="G213" i="4" s="1"/>
  <c r="AB213" i="4" s="1"/>
  <c r="F94" i="4"/>
  <c r="G94" i="4" s="1"/>
  <c r="F180" i="4"/>
  <c r="G180" i="4" s="1"/>
  <c r="F181" i="4"/>
  <c r="G181" i="4" s="1"/>
  <c r="F59" i="4"/>
  <c r="G59" i="4" s="1"/>
  <c r="F26" i="4"/>
  <c r="G26" i="4" s="1"/>
  <c r="F214" i="4"/>
  <c r="G214" i="4" s="1"/>
  <c r="F182" i="4"/>
  <c r="G182" i="4" s="1"/>
  <c r="F216" i="4"/>
  <c r="G216" i="4" s="1"/>
  <c r="F218" i="4"/>
  <c r="G218" i="4" s="1"/>
  <c r="AB218" i="4" s="1"/>
  <c r="F133" i="4"/>
  <c r="G133" i="4" s="1"/>
  <c r="F183" i="4"/>
  <c r="G183" i="4" s="1"/>
  <c r="F134" i="4"/>
  <c r="G134" i="4" s="1"/>
  <c r="F221" i="4"/>
  <c r="G221" i="4" s="1"/>
  <c r="AB221" i="4" s="1"/>
  <c r="F97" i="4"/>
  <c r="G97" i="4" s="1"/>
  <c r="F136" i="4"/>
  <c r="G136" i="4" s="1"/>
  <c r="F28" i="4"/>
  <c r="G28" i="4" s="1"/>
  <c r="F222" i="4"/>
  <c r="G222" i="4" s="1"/>
  <c r="F61" i="4"/>
  <c r="G61" i="4" s="1"/>
  <c r="AB61" i="4" s="1"/>
  <c r="F138" i="4"/>
  <c r="G138" i="4" s="1"/>
  <c r="F224" i="4"/>
  <c r="G224" i="4" s="1"/>
  <c r="F139" i="4"/>
  <c r="G139" i="4" s="1"/>
  <c r="F185" i="4"/>
  <c r="G185" i="4" s="1"/>
  <c r="F62" i="4"/>
  <c r="G62" i="4" s="1"/>
  <c r="F98" i="4"/>
  <c r="G98" i="4" s="1"/>
  <c r="F140" i="4"/>
  <c r="G140" i="4" s="1"/>
  <c r="F186" i="4"/>
  <c r="G186" i="4" s="1"/>
  <c r="F100" i="4"/>
  <c r="G100" i="4" s="1"/>
  <c r="AB100" i="4" s="1"/>
  <c r="F187" i="4"/>
  <c r="G187" i="4" s="1"/>
  <c r="F142" i="4"/>
  <c r="G142" i="4" s="1"/>
  <c r="F64" i="4"/>
  <c r="G64" i="4" s="1"/>
  <c r="F143" i="4"/>
  <c r="G143" i="4" s="1"/>
  <c r="AB143" i="4" s="1"/>
  <c r="F66" i="4"/>
  <c r="G66" i="4" s="1"/>
  <c r="F227" i="4"/>
  <c r="G227" i="4" s="1"/>
  <c r="F2" i="4"/>
  <c r="G2" i="4" s="1"/>
  <c r="AB2" i="4" s="1"/>
  <c r="F37" i="4"/>
  <c r="G37" i="4" s="1"/>
  <c r="F152" i="4"/>
  <c r="G152" i="4" s="1"/>
  <c r="F34" i="4"/>
  <c r="G34" i="4" s="1"/>
  <c r="F151" i="4"/>
  <c r="G151" i="4" s="1"/>
  <c r="F115" i="4"/>
  <c r="G115" i="4" s="1"/>
  <c r="AC141" i="4" l="1"/>
  <c r="AD141" i="4" a="1"/>
  <c r="AD141" i="4" s="1"/>
  <c r="AC93" i="4"/>
  <c r="AD93" i="4" a="1"/>
  <c r="AD93" i="4" s="1"/>
  <c r="AC160" i="4"/>
  <c r="AD160" i="4" a="1"/>
  <c r="AD160" i="4" s="1"/>
  <c r="AC80" i="4"/>
  <c r="AD80" i="4" a="1"/>
  <c r="AD80" i="4" s="1"/>
  <c r="AC25" i="4"/>
  <c r="AD25" i="4" a="1"/>
  <c r="AD25" i="4" s="1"/>
  <c r="AB124" i="4"/>
  <c r="AC149" i="4"/>
  <c r="AD149" i="4" a="1"/>
  <c r="AD149" i="4" s="1"/>
  <c r="AC29" i="4"/>
  <c r="AD29" i="4" a="1"/>
  <c r="AD29" i="4" s="1"/>
  <c r="AC90" i="4"/>
  <c r="AD90" i="4" a="1"/>
  <c r="AD90" i="4" s="1"/>
  <c r="AC199" i="4"/>
  <c r="AD199" i="4" a="1"/>
  <c r="AD199" i="4" s="1"/>
  <c r="AC74" i="4"/>
  <c r="AD74" i="4" a="1"/>
  <c r="AD74" i="4" s="1"/>
  <c r="AD101" i="4" a="1"/>
  <c r="AD101" i="4" s="1"/>
  <c r="AC101" i="4"/>
  <c r="AD215" i="4" a="1"/>
  <c r="AD215" i="4" s="1"/>
  <c r="AC215" i="4"/>
  <c r="AC86" i="4"/>
  <c r="AD86" i="4" a="1"/>
  <c r="AD86" i="4" s="1"/>
  <c r="AD198" i="4" a="1"/>
  <c r="AD198" i="4" s="1"/>
  <c r="AC198" i="4"/>
  <c r="AD106" i="4" a="1"/>
  <c r="AD106" i="4" s="1"/>
  <c r="AC106" i="4"/>
  <c r="AC65" i="4"/>
  <c r="AD65" i="4" a="1"/>
  <c r="AD65" i="4" s="1"/>
  <c r="AC95" i="4"/>
  <c r="AD95" i="4" a="1"/>
  <c r="AD95" i="4" s="1"/>
  <c r="AC123" i="4"/>
  <c r="AD123" i="4" a="1"/>
  <c r="AD123" i="4" s="1"/>
  <c r="AC192" i="4"/>
  <c r="AD192" i="4" a="1"/>
  <c r="AD192" i="4" s="1"/>
  <c r="AD60" i="4" a="1"/>
  <c r="AD60" i="4" s="1"/>
  <c r="AC60" i="4"/>
  <c r="AD176" i="4" a="1"/>
  <c r="AD176" i="4" s="1"/>
  <c r="AC176" i="4"/>
  <c r="AD14" i="4" a="1"/>
  <c r="AD14" i="4" s="1"/>
  <c r="AC14" i="4"/>
  <c r="AD114" i="4" a="1"/>
  <c r="AD114" i="4" s="1"/>
  <c r="AC114" i="4"/>
  <c r="AD36" i="4" a="1"/>
  <c r="AD36" i="4" s="1"/>
  <c r="AC36" i="4"/>
  <c r="AB144" i="4"/>
  <c r="AB223" i="4"/>
  <c r="AB96" i="4"/>
  <c r="AB19" i="4"/>
  <c r="AB172" i="4"/>
  <c r="AB120" i="4"/>
  <c r="AB157" i="4"/>
  <c r="AC35" i="4"/>
  <c r="AD35" i="4" a="1"/>
  <c r="AD35" i="4" s="1"/>
  <c r="AC131" i="4"/>
  <c r="AD131" i="4" a="1"/>
  <c r="AD131" i="4" s="1"/>
  <c r="AC27" i="4"/>
  <c r="AD27" i="4" a="1"/>
  <c r="AD27" i="4" s="1"/>
  <c r="AC87" i="4"/>
  <c r="AD87" i="4" a="1"/>
  <c r="AD87" i="4" s="1"/>
  <c r="AC45" i="4"/>
  <c r="AD45" i="4" a="1"/>
  <c r="AD45" i="4" s="1"/>
  <c r="AC33" i="4"/>
  <c r="AD33" i="4" a="1"/>
  <c r="AD33" i="4" s="1"/>
  <c r="AD225" i="4" a="1"/>
  <c r="AD225" i="4" s="1"/>
  <c r="AC225" i="4"/>
  <c r="AC179" i="4"/>
  <c r="AD179" i="4" a="1"/>
  <c r="AD179" i="4" s="1"/>
  <c r="AD82" i="4" a="1"/>
  <c r="AD82" i="4" s="1"/>
  <c r="AC82" i="4"/>
  <c r="AB11" i="4"/>
  <c r="AD69" i="4" a="1"/>
  <c r="AD69" i="4" s="1"/>
  <c r="AC69" i="4"/>
  <c r="AB63" i="4"/>
  <c r="AB135" i="4"/>
  <c r="AB23" i="4"/>
  <c r="AB56" i="4"/>
  <c r="AB125" i="4"/>
  <c r="AB166" i="4"/>
  <c r="AB164" i="4"/>
  <c r="AB193" i="4"/>
  <c r="AB190" i="4"/>
  <c r="AB37" i="4"/>
  <c r="AB214" i="4"/>
  <c r="AB91" i="4"/>
  <c r="AC47" i="4"/>
  <c r="AD47" i="4" a="1"/>
  <c r="AD47" i="4" s="1"/>
  <c r="AB154" i="4"/>
  <c r="AB30" i="4"/>
  <c r="AB132" i="4"/>
  <c r="AB211" i="4"/>
  <c r="AB83" i="4"/>
  <c r="AB163" i="4"/>
  <c r="AC39" i="4"/>
  <c r="AD39" i="4" a="1"/>
  <c r="AD39" i="4" s="1"/>
  <c r="AD70" i="4" a="1"/>
  <c r="AD70" i="4" s="1"/>
  <c r="AC70" i="4"/>
  <c r="AB222" i="4"/>
  <c r="AB130" i="4"/>
  <c r="AB50" i="4"/>
  <c r="AB158" i="4"/>
  <c r="AB34" i="4"/>
  <c r="AD143" i="4" a="1"/>
  <c r="AD143" i="4" s="1"/>
  <c r="AC143" i="4"/>
  <c r="AB186" i="4"/>
  <c r="AB138" i="4"/>
  <c r="AC221" i="4"/>
  <c r="AD221" i="4" a="1"/>
  <c r="AD221" i="4" s="1"/>
  <c r="AB216" i="4"/>
  <c r="AB94" i="4"/>
  <c r="AB212" i="4"/>
  <c r="AB209" i="4"/>
  <c r="AB175" i="4"/>
  <c r="AB85" i="4"/>
  <c r="AB170" i="4"/>
  <c r="AB48" i="4"/>
  <c r="AB121" i="4"/>
  <c r="AD78" i="4" a="1"/>
  <c r="AD78" i="4" s="1"/>
  <c r="AC78" i="4"/>
  <c r="AB13" i="4"/>
  <c r="AB159" i="4"/>
  <c r="AB113" i="4"/>
  <c r="AC72" i="4"/>
  <c r="AD72" i="4" a="1"/>
  <c r="AD72" i="4" s="1"/>
  <c r="AB7" i="4"/>
  <c r="AB103" i="4"/>
  <c r="AB219" i="4"/>
  <c r="AB173" i="4"/>
  <c r="AB41" i="4"/>
  <c r="AB152" i="4"/>
  <c r="AB140" i="4"/>
  <c r="AB182" i="4"/>
  <c r="AB57" i="4"/>
  <c r="AB178" i="4"/>
  <c r="AB54" i="4"/>
  <c r="AB174" i="4"/>
  <c r="AB4" i="4"/>
  <c r="AB202" i="4"/>
  <c r="AB117" i="4"/>
  <c r="AB44" i="4"/>
  <c r="AB155" i="4"/>
  <c r="AB71" i="4"/>
  <c r="AB105" i="4"/>
  <c r="AB102" i="4"/>
  <c r="AB98" i="4"/>
  <c r="AB177" i="4"/>
  <c r="AC16" i="4"/>
  <c r="AD16" i="4" a="1"/>
  <c r="AD16" i="4" s="1"/>
  <c r="AB42" i="4"/>
  <c r="AB109" i="4"/>
  <c r="AB5" i="4"/>
  <c r="AB203" i="4"/>
  <c r="AB137" i="4"/>
  <c r="AB128" i="4"/>
  <c r="AB205" i="4"/>
  <c r="AC195" i="4"/>
  <c r="AD195" i="4" a="1"/>
  <c r="AD195" i="4" s="1"/>
  <c r="AC9" i="4"/>
  <c r="AD9" i="4" a="1"/>
  <c r="AD9" i="4" s="1"/>
  <c r="AC2" i="4"/>
  <c r="AD2" i="4" a="1"/>
  <c r="AD2" i="4" s="1"/>
  <c r="AB26" i="4"/>
  <c r="AC46" i="4"/>
  <c r="AD46" i="4" a="1"/>
  <c r="AD46" i="4" s="1"/>
  <c r="AB191" i="4"/>
  <c r="AB187" i="4"/>
  <c r="AB185" i="4"/>
  <c r="AB28" i="4"/>
  <c r="AB133" i="4"/>
  <c r="AB59" i="4"/>
  <c r="AB210" i="4"/>
  <c r="AB51" i="4"/>
  <c r="AB15" i="4"/>
  <c r="AB197" i="4"/>
  <c r="AB161" i="4"/>
  <c r="AB194" i="4"/>
  <c r="AB73" i="4"/>
  <c r="AB32" i="4"/>
  <c r="AB200" i="4"/>
  <c r="AB43" i="4"/>
  <c r="AC146" i="4"/>
  <c r="AD146" i="4" a="1"/>
  <c r="AD146" i="4" s="1"/>
  <c r="AB183" i="4"/>
  <c r="AB204" i="4"/>
  <c r="AB196" i="4"/>
  <c r="AB21" i="4"/>
  <c r="AB227" i="4"/>
  <c r="AB136" i="4"/>
  <c r="AB22" i="4"/>
  <c r="AB20" i="4"/>
  <c r="AB208" i="4"/>
  <c r="AB126" i="4"/>
  <c r="AB17" i="4"/>
  <c r="AB169" i="4"/>
  <c r="AB119" i="4"/>
  <c r="AB75" i="4"/>
  <c r="AB108" i="4"/>
  <c r="AB31" i="4"/>
  <c r="AB64" i="4"/>
  <c r="AB134" i="4"/>
  <c r="AC213" i="4"/>
  <c r="AD213" i="4" a="1"/>
  <c r="AD213" i="4" s="1"/>
  <c r="AB84" i="4"/>
  <c r="AB77" i="4"/>
  <c r="AB111" i="4"/>
  <c r="AB226" i="4"/>
  <c r="AB99" i="4"/>
  <c r="AB217" i="4"/>
  <c r="AB127" i="4"/>
  <c r="AB49" i="4"/>
  <c r="AB165" i="4"/>
  <c r="AC112" i="4"/>
  <c r="AD112" i="4" a="1"/>
  <c r="AD112" i="4" s="1"/>
  <c r="AB142" i="4"/>
  <c r="AC53" i="4"/>
  <c r="AD53" i="4" a="1"/>
  <c r="AD53" i="4" s="1"/>
  <c r="AB118" i="4"/>
  <c r="AD147" i="4" a="1"/>
  <c r="AD147" i="4" s="1"/>
  <c r="AC147" i="4"/>
  <c r="AB67" i="4"/>
  <c r="AB122" i="4"/>
  <c r="AB115" i="4"/>
  <c r="AD100" i="4" a="1"/>
  <c r="AD100" i="4" s="1"/>
  <c r="AC100" i="4"/>
  <c r="AD218" i="4" a="1"/>
  <c r="AD218" i="4" s="1"/>
  <c r="AC218" i="4"/>
  <c r="AB92" i="4"/>
  <c r="AB201" i="4"/>
  <c r="AD76" i="4" a="1"/>
  <c r="AD76" i="4" s="1"/>
  <c r="AC76" i="4"/>
  <c r="AB38" i="4"/>
  <c r="AB107" i="4"/>
  <c r="AB184" i="4"/>
  <c r="AB55" i="4"/>
  <c r="AB162" i="4"/>
  <c r="AB188" i="4"/>
  <c r="AC61" i="4"/>
  <c r="AD61" i="4" a="1"/>
  <c r="AD61" i="4" s="1"/>
  <c r="AB88" i="4"/>
  <c r="AB3" i="4"/>
  <c r="B7" i="5" s="1"/>
  <c r="AB12" i="4"/>
  <c r="AB189" i="4"/>
  <c r="AB24" i="4"/>
  <c r="AB150" i="4"/>
  <c r="AB220" i="4"/>
  <c r="AB207" i="4"/>
  <c r="AD40" i="4" a="1"/>
  <c r="AD40" i="4" s="1"/>
  <c r="AC40" i="4"/>
  <c r="AC104" i="4"/>
  <c r="AD104" i="4" a="1"/>
  <c r="AD104" i="4" s="1"/>
  <c r="AB62" i="4"/>
  <c r="AB18" i="4"/>
  <c r="AB79" i="4"/>
  <c r="AB153" i="4"/>
  <c r="AB145" i="4"/>
  <c r="AB110" i="4"/>
  <c r="AB66" i="4"/>
  <c r="AB139" i="4"/>
  <c r="AB97" i="4"/>
  <c r="AB181" i="4"/>
  <c r="AB206" i="4"/>
  <c r="AB167" i="4"/>
  <c r="AB116" i="4"/>
  <c r="AB6" i="4"/>
  <c r="AB151" i="4"/>
  <c r="AB224" i="4"/>
  <c r="AB180" i="4"/>
  <c r="AB58" i="4"/>
  <c r="AB129" i="4"/>
  <c r="AB89" i="4"/>
  <c r="AB52" i="4"/>
  <c r="AB171" i="4"/>
  <c r="AB81" i="4"/>
  <c r="AB168" i="4"/>
  <c r="AB10" i="4"/>
  <c r="AB156" i="4"/>
  <c r="AB148" i="4"/>
  <c r="AB8" i="4"/>
  <c r="AB68" i="4"/>
  <c r="AD139" i="4" l="1" a="1"/>
  <c r="AD139" i="4" s="1"/>
  <c r="AC139" i="4"/>
  <c r="AD55" i="4" a="1"/>
  <c r="AD55" i="4" s="1"/>
  <c r="AC55" i="4"/>
  <c r="AD169" i="4" a="1"/>
  <c r="AD169" i="4" s="1"/>
  <c r="AC169" i="4"/>
  <c r="AD59" i="4" a="1"/>
  <c r="AD59" i="4" s="1"/>
  <c r="AC59" i="4"/>
  <c r="AC155" i="4"/>
  <c r="AD155" i="4" a="1"/>
  <c r="AD155" i="4" s="1"/>
  <c r="AC121" i="4"/>
  <c r="AD121" i="4" a="1"/>
  <c r="AD121" i="4" s="1"/>
  <c r="AD158" i="4" a="1"/>
  <c r="AD158" i="4" s="1"/>
  <c r="AC158" i="4"/>
  <c r="AC91" i="4"/>
  <c r="AD91" i="4" a="1"/>
  <c r="AD91" i="4" s="1"/>
  <c r="AD66" i="4" a="1"/>
  <c r="AD66" i="4" s="1"/>
  <c r="AC66" i="4"/>
  <c r="AD12" i="4" a="1"/>
  <c r="AD12" i="4" s="1"/>
  <c r="AC12" i="4"/>
  <c r="AD184" i="4" a="1"/>
  <c r="AD184" i="4" s="1"/>
  <c r="AC184" i="4"/>
  <c r="AD118" i="4" a="1"/>
  <c r="AD118" i="4" s="1"/>
  <c r="AC118" i="4"/>
  <c r="AC127" i="4"/>
  <c r="AD127" i="4" a="1"/>
  <c r="AD127" i="4" s="1"/>
  <c r="AD17" i="4" a="1"/>
  <c r="AD17" i="4" s="1"/>
  <c r="AC17" i="4"/>
  <c r="AC196" i="4"/>
  <c r="AD196" i="4" a="1"/>
  <c r="AD196" i="4" s="1"/>
  <c r="AC73" i="4"/>
  <c r="AD73" i="4" a="1"/>
  <c r="AD73" i="4" s="1"/>
  <c r="AD133" i="4" a="1"/>
  <c r="AD133" i="4" s="1"/>
  <c r="AC133" i="4"/>
  <c r="AC44" i="4"/>
  <c r="AD44" i="4" a="1"/>
  <c r="AD44" i="4" s="1"/>
  <c r="AD182" i="4" a="1"/>
  <c r="AD182" i="4" s="1"/>
  <c r="AC182" i="4"/>
  <c r="AD48" i="4" a="1"/>
  <c r="AD48" i="4" s="1"/>
  <c r="AC48" i="4"/>
  <c r="AD50" i="4" a="1"/>
  <c r="AD50" i="4" s="1"/>
  <c r="AC50" i="4"/>
  <c r="AD83" i="4" a="1"/>
  <c r="AD83" i="4" s="1"/>
  <c r="AC83" i="4"/>
  <c r="AD214" i="4" a="1"/>
  <c r="AD214" i="4" s="1"/>
  <c r="AC214" i="4"/>
  <c r="AC23" i="4"/>
  <c r="AD23" i="4" a="1"/>
  <c r="AD23" i="4" s="1"/>
  <c r="AD157" i="4" a="1"/>
  <c r="AD157" i="4" s="1"/>
  <c r="AC157" i="4"/>
  <c r="AD130" i="4" a="1"/>
  <c r="AD130" i="4" s="1"/>
  <c r="AC130" i="4"/>
  <c r="AC211" i="4"/>
  <c r="AD211" i="4" a="1"/>
  <c r="AD211" i="4" s="1"/>
  <c r="AD37" i="4" a="1"/>
  <c r="AD37" i="4" s="1"/>
  <c r="AC37" i="4"/>
  <c r="AC135" i="4"/>
  <c r="AD135" i="4" a="1"/>
  <c r="AD135" i="4" s="1"/>
  <c r="AC120" i="4"/>
  <c r="AD120" i="4" a="1"/>
  <c r="AD120" i="4" s="1"/>
  <c r="AD168" i="4" a="1"/>
  <c r="AD168" i="4" s="1"/>
  <c r="AC168" i="4"/>
  <c r="AD7" i="4" a="1"/>
  <c r="AD7" i="4" s="1"/>
  <c r="AC7" i="4"/>
  <c r="AD216" i="4" a="1"/>
  <c r="AD216" i="4" s="1"/>
  <c r="AC216" i="4"/>
  <c r="AC163" i="4"/>
  <c r="AD163" i="4" a="1"/>
  <c r="AD163" i="4" s="1"/>
  <c r="AD56" i="4" a="1"/>
  <c r="AD56" i="4" s="1"/>
  <c r="AC56" i="4"/>
  <c r="AC151" i="4"/>
  <c r="AD151" i="4" a="1"/>
  <c r="AD151" i="4" s="1"/>
  <c r="AD171" i="4" a="1"/>
  <c r="AD171" i="4" s="1"/>
  <c r="AC171" i="4"/>
  <c r="AC6" i="4"/>
  <c r="AD6" i="4" a="1"/>
  <c r="AD6" i="4" s="1"/>
  <c r="AC110" i="4"/>
  <c r="AD110" i="4" a="1"/>
  <c r="AD110" i="4" s="1"/>
  <c r="AD107" i="4" a="1"/>
  <c r="AD107" i="4" s="1"/>
  <c r="AC107" i="4"/>
  <c r="AD217" i="4" a="1"/>
  <c r="AD217" i="4" s="1"/>
  <c r="AC217" i="4"/>
  <c r="AD134" i="4" a="1"/>
  <c r="AD134" i="4" s="1"/>
  <c r="AC134" i="4"/>
  <c r="AD126" i="4" a="1"/>
  <c r="AD126" i="4" s="1"/>
  <c r="AC126" i="4"/>
  <c r="AD204" i="4" a="1"/>
  <c r="AD204" i="4" s="1"/>
  <c r="AC204" i="4"/>
  <c r="AD194" i="4" a="1"/>
  <c r="AD194" i="4" s="1"/>
  <c r="AC194" i="4"/>
  <c r="AD28" i="4" a="1"/>
  <c r="AD28" i="4" s="1"/>
  <c r="AC28" i="4"/>
  <c r="AC205" i="4"/>
  <c r="AD205" i="4" a="1"/>
  <c r="AD205" i="4" s="1"/>
  <c r="AD117" i="4" a="1"/>
  <c r="AD117" i="4" s="1"/>
  <c r="AC117" i="4"/>
  <c r="AC170" i="4"/>
  <c r="AD170" i="4" a="1"/>
  <c r="AD170" i="4" s="1"/>
  <c r="AC68" i="4"/>
  <c r="AD68" i="4" a="1"/>
  <c r="AD68" i="4" s="1"/>
  <c r="AD116" i="4" a="1"/>
  <c r="AD116" i="4" s="1"/>
  <c r="AC116" i="4"/>
  <c r="AD145" i="4" a="1"/>
  <c r="AD145" i="4" s="1"/>
  <c r="AC145" i="4"/>
  <c r="AC88" i="4"/>
  <c r="AD88" i="4" a="1"/>
  <c r="AD88" i="4" s="1"/>
  <c r="AD38" i="4" a="1"/>
  <c r="AD38" i="4" s="1"/>
  <c r="AC38" i="4"/>
  <c r="AC99" i="4"/>
  <c r="AD99" i="4" a="1"/>
  <c r="AD99" i="4" s="1"/>
  <c r="AC64" i="4"/>
  <c r="AD64" i="4" a="1"/>
  <c r="AD64" i="4" s="1"/>
  <c r="AD208" i="4" a="1"/>
  <c r="AD208" i="4" s="1"/>
  <c r="AC208" i="4"/>
  <c r="AC183" i="4"/>
  <c r="AD183" i="4" a="1"/>
  <c r="AD183" i="4" s="1"/>
  <c r="AC161" i="4"/>
  <c r="AD161" i="4" a="1"/>
  <c r="AD161" i="4" s="1"/>
  <c r="AD185" i="4" a="1"/>
  <c r="AD185" i="4" s="1"/>
  <c r="AC185" i="4"/>
  <c r="AD128" i="4" a="1"/>
  <c r="AD128" i="4" s="1"/>
  <c r="AC128" i="4"/>
  <c r="AD177" i="4" a="1"/>
  <c r="AD177" i="4" s="1"/>
  <c r="AC177" i="4"/>
  <c r="AD202" i="4" a="1"/>
  <c r="AD202" i="4" s="1"/>
  <c r="AC202" i="4"/>
  <c r="AD152" i="4" a="1"/>
  <c r="AD152" i="4" s="1"/>
  <c r="AC152" i="4"/>
  <c r="AD113" i="4" a="1"/>
  <c r="AD113" i="4" s="1"/>
  <c r="AC113" i="4"/>
  <c r="AC85" i="4"/>
  <c r="AD85" i="4" a="1"/>
  <c r="AD85" i="4" s="1"/>
  <c r="AD138" i="4" a="1"/>
  <c r="AD138" i="4" s="1"/>
  <c r="AC138" i="4"/>
  <c r="AC222" i="4"/>
  <c r="AD222" i="4" a="1"/>
  <c r="AD222" i="4" s="1"/>
  <c r="AC132" i="4"/>
  <c r="AD132" i="4" a="1"/>
  <c r="AD132" i="4" s="1"/>
  <c r="AC190" i="4"/>
  <c r="AD190" i="4" a="1"/>
  <c r="AD190" i="4" s="1"/>
  <c r="AD63" i="4" a="1"/>
  <c r="AD63" i="4" s="1"/>
  <c r="AC63" i="4"/>
  <c r="AD172" i="4" a="1"/>
  <c r="AD172" i="4" s="1"/>
  <c r="AC172" i="4"/>
  <c r="AC49" i="4"/>
  <c r="AD49" i="4" a="1"/>
  <c r="AD49" i="4" s="1"/>
  <c r="AD32" i="4" a="1"/>
  <c r="AD32" i="4" s="1"/>
  <c r="AC32" i="4"/>
  <c r="AC57" i="4"/>
  <c r="AD57" i="4" a="1"/>
  <c r="AD57" i="4" s="1"/>
  <c r="AD81" i="4" a="1"/>
  <c r="AD81" i="4" s="1"/>
  <c r="AC81" i="4"/>
  <c r="AC3" i="4"/>
  <c r="AD3" i="4" a="1"/>
  <c r="AD3" i="4" s="1"/>
  <c r="B8" i="5"/>
  <c r="AD140" i="4" a="1"/>
  <c r="AD140" i="4" s="1"/>
  <c r="AC140" i="4"/>
  <c r="AC52" i="4"/>
  <c r="AD52" i="4" a="1"/>
  <c r="AD52" i="4" s="1"/>
  <c r="AD8" i="4" a="1"/>
  <c r="AD8" i="4" s="1"/>
  <c r="AC8" i="4"/>
  <c r="AD89" i="4" a="1"/>
  <c r="AD89" i="4" s="1"/>
  <c r="AC89" i="4"/>
  <c r="AD167" i="4" a="1"/>
  <c r="AD167" i="4" s="1"/>
  <c r="AC167" i="4"/>
  <c r="AD153" i="4" a="1"/>
  <c r="AD153" i="4" s="1"/>
  <c r="AC153" i="4"/>
  <c r="AC207" i="4"/>
  <c r="AD207" i="4" a="1"/>
  <c r="AD207" i="4" s="1"/>
  <c r="AD115" i="4" a="1"/>
  <c r="AD115" i="4" s="1"/>
  <c r="AC115" i="4"/>
  <c r="AD142" i="4" a="1"/>
  <c r="AD142" i="4" s="1"/>
  <c r="AC142" i="4"/>
  <c r="AC226" i="4"/>
  <c r="AD226" i="4" a="1"/>
  <c r="AD226" i="4" s="1"/>
  <c r="AD31" i="4" a="1"/>
  <c r="AD31" i="4" s="1"/>
  <c r="AC31" i="4"/>
  <c r="AD20" i="4" a="1"/>
  <c r="AD20" i="4" s="1"/>
  <c r="AC20" i="4"/>
  <c r="AD197" i="4" a="1"/>
  <c r="AD197" i="4" s="1"/>
  <c r="AC197" i="4"/>
  <c r="AD187" i="4" a="1"/>
  <c r="AD187" i="4" s="1"/>
  <c r="AC187" i="4"/>
  <c r="AC137" i="4"/>
  <c r="AD137" i="4" a="1"/>
  <c r="AD137" i="4" s="1"/>
  <c r="AD98" i="4" a="1"/>
  <c r="AD98" i="4" s="1"/>
  <c r="AC98" i="4"/>
  <c r="AC4" i="4"/>
  <c r="AD4" i="4" a="1"/>
  <c r="AD4" i="4" s="1"/>
  <c r="AD41" i="4" a="1"/>
  <c r="AD41" i="4" s="1"/>
  <c r="AC41" i="4"/>
  <c r="AC159" i="4"/>
  <c r="AD159" i="4" a="1"/>
  <c r="AD159" i="4" s="1"/>
  <c r="AD175" i="4" a="1"/>
  <c r="AD175" i="4" s="1"/>
  <c r="AC175" i="4"/>
  <c r="AD186" i="4" a="1"/>
  <c r="AD186" i="4" s="1"/>
  <c r="AC186" i="4"/>
  <c r="AC30" i="4"/>
  <c r="AD30" i="4" a="1"/>
  <c r="AD30" i="4" s="1"/>
  <c r="AD193" i="4" a="1"/>
  <c r="AD193" i="4" s="1"/>
  <c r="AC193" i="4"/>
  <c r="AD19" i="4" a="1"/>
  <c r="AD19" i="4" s="1"/>
  <c r="AC19" i="4"/>
  <c r="AD224" i="4" a="1"/>
  <c r="AD224" i="4" s="1"/>
  <c r="AC224" i="4"/>
  <c r="AC189" i="4"/>
  <c r="AD189" i="4" a="1"/>
  <c r="AD189" i="4" s="1"/>
  <c r="AD21" i="4" a="1"/>
  <c r="AD21" i="4" s="1"/>
  <c r="AC21" i="4"/>
  <c r="AC42" i="4"/>
  <c r="AD42" i="4" a="1"/>
  <c r="AD42" i="4" s="1"/>
  <c r="AD129" i="4" a="1"/>
  <c r="AD129" i="4" s="1"/>
  <c r="AC129" i="4"/>
  <c r="AC79" i="4"/>
  <c r="AD79" i="4" a="1"/>
  <c r="AD79" i="4" s="1"/>
  <c r="AC122" i="4"/>
  <c r="AD122" i="4" a="1"/>
  <c r="AD122" i="4" s="1"/>
  <c r="AC111" i="4"/>
  <c r="AD111" i="4" a="1"/>
  <c r="AD111" i="4" s="1"/>
  <c r="AD108" i="4" a="1"/>
  <c r="AD108" i="4" s="1"/>
  <c r="AC108" i="4"/>
  <c r="AD22" i="4" a="1"/>
  <c r="AD22" i="4" s="1"/>
  <c r="AC22" i="4"/>
  <c r="AD15" i="4" a="1"/>
  <c r="AD15" i="4" s="1"/>
  <c r="AC15" i="4"/>
  <c r="AD191" i="4" a="1"/>
  <c r="AD191" i="4" s="1"/>
  <c r="AC191" i="4"/>
  <c r="AD203" i="4" a="1"/>
  <c r="AD203" i="4" s="1"/>
  <c r="AC203" i="4"/>
  <c r="AC173" i="4"/>
  <c r="AD173" i="4" a="1"/>
  <c r="AD173" i="4" s="1"/>
  <c r="AD96" i="4" a="1"/>
  <c r="AD96" i="4" s="1"/>
  <c r="AC96" i="4"/>
  <c r="AC58" i="4"/>
  <c r="AD58" i="4" a="1"/>
  <c r="AD58" i="4" s="1"/>
  <c r="AD18" i="4" a="1"/>
  <c r="AD18" i="4" s="1"/>
  <c r="AC18" i="4"/>
  <c r="AC188" i="4"/>
  <c r="AD188" i="4" a="1"/>
  <c r="AD188" i="4" s="1"/>
  <c r="AD201" i="4" a="1"/>
  <c r="AD201" i="4" s="1"/>
  <c r="AC201" i="4"/>
  <c r="AD67" i="4" a="1"/>
  <c r="AD67" i="4" s="1"/>
  <c r="AC67" i="4"/>
  <c r="AD77" i="4" a="1"/>
  <c r="AD77" i="4" s="1"/>
  <c r="AC77" i="4"/>
  <c r="AD75" i="4" a="1"/>
  <c r="AD75" i="4" s="1"/>
  <c r="AC75" i="4"/>
  <c r="AD136" i="4" a="1"/>
  <c r="AD136" i="4" s="1"/>
  <c r="AC136" i="4"/>
  <c r="AC43" i="4"/>
  <c r="AD43" i="4" a="1"/>
  <c r="AD43" i="4" s="1"/>
  <c r="AD51" i="4" a="1"/>
  <c r="AD51" i="4" s="1"/>
  <c r="AC51" i="4"/>
  <c r="AD5" i="4" a="1"/>
  <c r="AD5" i="4" s="1"/>
  <c r="AC5" i="4"/>
  <c r="AD105" i="4" a="1"/>
  <c r="AD105" i="4" s="1"/>
  <c r="AC105" i="4"/>
  <c r="AD54" i="4" a="1"/>
  <c r="AD54" i="4" s="1"/>
  <c r="AC54" i="4"/>
  <c r="AC219" i="4"/>
  <c r="AD219" i="4" a="1"/>
  <c r="AD219" i="4" s="1"/>
  <c r="AC212" i="4"/>
  <c r="AD212" i="4" a="1"/>
  <c r="AD212" i="4" s="1"/>
  <c r="AD166" i="4" a="1"/>
  <c r="AD166" i="4" s="1"/>
  <c r="AC166" i="4"/>
  <c r="AC11" i="4"/>
  <c r="AD11" i="4" a="1"/>
  <c r="AD11" i="4" s="1"/>
  <c r="AC223" i="4"/>
  <c r="AD223" i="4" a="1"/>
  <c r="AD223" i="4" s="1"/>
  <c r="AC124" i="4"/>
  <c r="AD124" i="4" a="1"/>
  <c r="AD124" i="4" s="1"/>
  <c r="AD26" i="4" a="1"/>
  <c r="AD26" i="4" s="1"/>
  <c r="AC26" i="4"/>
  <c r="AD148" i="4" a="1"/>
  <c r="AD148" i="4" s="1"/>
  <c r="AC148" i="4"/>
  <c r="AD206" i="4" a="1"/>
  <c r="AD206" i="4" s="1"/>
  <c r="AC206" i="4"/>
  <c r="AC220" i="4"/>
  <c r="AD220" i="4" a="1"/>
  <c r="AD220" i="4" s="1"/>
  <c r="B6" i="5"/>
  <c r="AD102" i="4" a="1"/>
  <c r="AD102" i="4" s="1"/>
  <c r="AC102" i="4"/>
  <c r="AC174" i="4"/>
  <c r="AD174" i="4" a="1"/>
  <c r="AD174" i="4" s="1"/>
  <c r="AD13" i="4" a="1"/>
  <c r="AD13" i="4" s="1"/>
  <c r="AC13" i="4"/>
  <c r="AC209" i="4"/>
  <c r="AD209" i="4" a="1"/>
  <c r="AD209" i="4" s="1"/>
  <c r="AC154" i="4"/>
  <c r="AD154" i="4" a="1"/>
  <c r="AD154" i="4" s="1"/>
  <c r="AD164" i="4" a="1"/>
  <c r="AD164" i="4" s="1"/>
  <c r="AC164" i="4"/>
  <c r="AD156" i="4" a="1"/>
  <c r="AD156" i="4" s="1"/>
  <c r="AC156" i="4"/>
  <c r="AD181" i="4" a="1"/>
  <c r="AD181" i="4" s="1"/>
  <c r="AC181" i="4"/>
  <c r="AC150" i="4"/>
  <c r="AD150" i="4" a="1"/>
  <c r="AD150" i="4" s="1"/>
  <c r="AC10" i="4"/>
  <c r="AD10" i="4" a="1"/>
  <c r="AD10" i="4" s="1"/>
  <c r="AD180" i="4" a="1"/>
  <c r="AD180" i="4" s="1"/>
  <c r="AC180" i="4"/>
  <c r="AC97" i="4"/>
  <c r="AD97" i="4" a="1"/>
  <c r="AD97" i="4" s="1"/>
  <c r="AD62" i="4" a="1"/>
  <c r="AD62" i="4" s="1"/>
  <c r="AC62" i="4"/>
  <c r="AD24" i="4" a="1"/>
  <c r="AD24" i="4" s="1"/>
  <c r="AC24" i="4"/>
  <c r="AD162" i="4" a="1"/>
  <c r="AD162" i="4" s="1"/>
  <c r="AC162" i="4"/>
  <c r="AD92" i="4" a="1"/>
  <c r="AD92" i="4" s="1"/>
  <c r="AC92" i="4"/>
  <c r="AD165" i="4" a="1"/>
  <c r="AD165" i="4" s="1"/>
  <c r="AC165" i="4"/>
  <c r="AC84" i="4"/>
  <c r="AD84" i="4" a="1"/>
  <c r="AD84" i="4" s="1"/>
  <c r="AC119" i="4"/>
  <c r="AD119" i="4" a="1"/>
  <c r="AD119" i="4" s="1"/>
  <c r="AD227" i="4" a="1"/>
  <c r="AD227" i="4" s="1"/>
  <c r="AC227" i="4"/>
  <c r="AC200" i="4"/>
  <c r="AD200" i="4" a="1"/>
  <c r="AD200" i="4" s="1"/>
  <c r="AD210" i="4" a="1"/>
  <c r="AD210" i="4" s="1"/>
  <c r="AC210" i="4"/>
  <c r="AD109" i="4" a="1"/>
  <c r="AD109" i="4" s="1"/>
  <c r="AC109" i="4"/>
  <c r="AD71" i="4" a="1"/>
  <c r="AD71" i="4" s="1"/>
  <c r="AC71" i="4"/>
  <c r="AD178" i="4" a="1"/>
  <c r="AD178" i="4" s="1"/>
  <c r="AC178" i="4"/>
  <c r="AC103" i="4"/>
  <c r="AD103" i="4" a="1"/>
  <c r="AD103" i="4" s="1"/>
  <c r="AD94" i="4" a="1"/>
  <c r="AD94" i="4" s="1"/>
  <c r="AC94" i="4"/>
  <c r="AD34" i="4" a="1"/>
  <c r="AD34" i="4" s="1"/>
  <c r="AC34" i="4"/>
  <c r="AD125" i="4" a="1"/>
  <c r="AD125" i="4" s="1"/>
  <c r="AC125" i="4"/>
  <c r="AD144" i="4" a="1"/>
  <c r="AD144" i="4" s="1"/>
  <c r="AC144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<sst xmlns="http://schemas.openxmlformats.org/spreadsheetml/2006/main" count="2828" uniqueCount="635">
  <si>
    <t>industry</t>
  </si>
  <si>
    <t>ebitdaMargins</t>
  </si>
  <si>
    <t>profitMargins</t>
  </si>
  <si>
    <t>grossMargins</t>
  </si>
  <si>
    <t>operatingCashflow</t>
  </si>
  <si>
    <t>revenueGrowth</t>
  </si>
  <si>
    <t>operatingMargins</t>
  </si>
  <si>
    <t>ebitda</t>
  </si>
  <si>
    <t>grossProfits</t>
  </si>
  <si>
    <t>freeCashflow</t>
  </si>
  <si>
    <t>currentPrice</t>
  </si>
  <si>
    <t>earningsGrowth</t>
  </si>
  <si>
    <t>currentRatio</t>
  </si>
  <si>
    <t>returnOnAssets</t>
  </si>
  <si>
    <t>debtToEquity</t>
  </si>
  <si>
    <t>returnOnEquity</t>
  </si>
  <si>
    <t>totalCash</t>
  </si>
  <si>
    <t>totalDebt</t>
  </si>
  <si>
    <t>totalRevenue</t>
  </si>
  <si>
    <t>totalCashPerShare</t>
  </si>
  <si>
    <t>financialCurrency</t>
  </si>
  <si>
    <t>revenuePerShare</t>
  </si>
  <si>
    <t>quickRatio</t>
  </si>
  <si>
    <t>shortName</t>
  </si>
  <si>
    <t>quoteType</t>
  </si>
  <si>
    <t>symbol</t>
  </si>
  <si>
    <t>enterpriseToRevenue</t>
  </si>
  <si>
    <t>enterpriseToEbitda</t>
  </si>
  <si>
    <t>forwardEps</t>
  </si>
  <si>
    <t>sharesOutstanding</t>
  </si>
  <si>
    <t>bookValue</t>
  </si>
  <si>
    <t>trailingEps</t>
  </si>
  <si>
    <t>priceToBook</t>
  </si>
  <si>
    <t>heldPercentInsiders</t>
  </si>
  <si>
    <t>enterpriseValue</t>
  </si>
  <si>
    <t>earningsQuarterlyGrowth</t>
  </si>
  <si>
    <t>pegRatio</t>
  </si>
  <si>
    <t>forwardPE</t>
  </si>
  <si>
    <t>marketCap</t>
  </si>
  <si>
    <t>Consumer Electronics</t>
  </si>
  <si>
    <t>USD</t>
  </si>
  <si>
    <t>Apple Inc.</t>
  </si>
  <si>
    <t>EQUITY</t>
  </si>
  <si>
    <t>AAPL</t>
  </si>
  <si>
    <t>Software—Infrastructure</t>
  </si>
  <si>
    <t>Microsoft Corporation</t>
  </si>
  <si>
    <t>MSFT</t>
  </si>
  <si>
    <t>Internet Content &amp; Information</t>
  </si>
  <si>
    <t>Alphabet Inc.</t>
  </si>
  <si>
    <t>GOOG</t>
  </si>
  <si>
    <t>GOOGL</t>
  </si>
  <si>
    <t>Internet Retail</t>
  </si>
  <si>
    <t>Amazon.com, Inc.</t>
  </si>
  <si>
    <t>AMZN</t>
  </si>
  <si>
    <t>Auto Manufacturers</t>
  </si>
  <si>
    <t>Tesla, Inc.</t>
  </si>
  <si>
    <t>TSLA</t>
  </si>
  <si>
    <t>Semiconductors</t>
  </si>
  <si>
    <t>NVIDIA Corporation</t>
  </si>
  <si>
    <t>NVDA</t>
  </si>
  <si>
    <t>Meta Platforms, Inc.</t>
  </si>
  <si>
    <t>FB</t>
  </si>
  <si>
    <t>Healthcare Plans</t>
  </si>
  <si>
    <t>UnitedHealth Group Incorporated</t>
  </si>
  <si>
    <t>UNH</t>
  </si>
  <si>
    <t>Credit Services</t>
  </si>
  <si>
    <t>Visa Inc.</t>
  </si>
  <si>
    <t>V</t>
  </si>
  <si>
    <t>Drug Manufacturers—General</t>
  </si>
  <si>
    <t>Johnson &amp; Johnson</t>
  </si>
  <si>
    <t>JNJ</t>
  </si>
  <si>
    <t>Discount Stores</t>
  </si>
  <si>
    <t>Walmart Inc.</t>
  </si>
  <si>
    <t>WMT</t>
  </si>
  <si>
    <t>Household &amp; Personal Products</t>
  </si>
  <si>
    <t>Procter &amp; Gamble Company (The)</t>
  </si>
  <si>
    <t>PG</t>
  </si>
  <si>
    <t>Oil &amp; Gas Integrated</t>
  </si>
  <si>
    <t>Exxon Mobil Corporation</t>
  </si>
  <si>
    <t>XOM</t>
  </si>
  <si>
    <t>Mastercard Incorporated</t>
  </si>
  <si>
    <t>MA</t>
  </si>
  <si>
    <t>Home Improvement Retail</t>
  </si>
  <si>
    <t>Home Depot, Inc. (The)</t>
  </si>
  <si>
    <t>HD</t>
  </si>
  <si>
    <t>Chevron Corporation</t>
  </si>
  <si>
    <t>CVX</t>
  </si>
  <si>
    <t>Pfizer, Inc.</t>
  </si>
  <si>
    <t>PFE</t>
  </si>
  <si>
    <t>AbbVie Inc.</t>
  </si>
  <si>
    <t>ABBV</t>
  </si>
  <si>
    <t>Eli Lilly and Company</t>
  </si>
  <si>
    <t>LLY</t>
  </si>
  <si>
    <t>Beverages—Non-Alcoholic</t>
  </si>
  <si>
    <t>Coca-Cola Company (The)</t>
  </si>
  <si>
    <t>KO</t>
  </si>
  <si>
    <t>Broadcom Inc.</t>
  </si>
  <si>
    <t>AVGO</t>
  </si>
  <si>
    <t>Entertainment</t>
  </si>
  <si>
    <t>Walt Disney Company (The)</t>
  </si>
  <si>
    <t>DIS</t>
  </si>
  <si>
    <t>Costco Wholesale Corporation</t>
  </si>
  <si>
    <t>COST</t>
  </si>
  <si>
    <t>Pepsico, Inc.</t>
  </si>
  <si>
    <t>PEP</t>
  </si>
  <si>
    <t>Communication Equipment</t>
  </si>
  <si>
    <t>Cisco Systems, Inc.</t>
  </si>
  <si>
    <t>CSCO</t>
  </si>
  <si>
    <t>Diagnostics &amp; Research</t>
  </si>
  <si>
    <t>Thermo Fisher Scientific Inc</t>
  </si>
  <si>
    <t>TMO</t>
  </si>
  <si>
    <t>Oracle Corporation</t>
  </si>
  <si>
    <t>ORCL</t>
  </si>
  <si>
    <t>Information Technology Services</t>
  </si>
  <si>
    <t>Accenture plc</t>
  </si>
  <si>
    <t>ACN</t>
  </si>
  <si>
    <t>Telecom Services</t>
  </si>
  <si>
    <t>Verizon Communications Inc.</t>
  </si>
  <si>
    <t>VZ</t>
  </si>
  <si>
    <t>Software—Application</t>
  </si>
  <si>
    <t>Salesforce.com Inc</t>
  </si>
  <si>
    <t>CRM</t>
  </si>
  <si>
    <t>Comcast Corporation</t>
  </si>
  <si>
    <t>CMCSA</t>
  </si>
  <si>
    <t>Intel Corporation</t>
  </si>
  <si>
    <t>INTC</t>
  </si>
  <si>
    <t>Medical Devices</t>
  </si>
  <si>
    <t>Abbott Laboratories</t>
  </si>
  <si>
    <t>ABT</t>
  </si>
  <si>
    <t>Footwear &amp; Accessories</t>
  </si>
  <si>
    <t>Nike, Inc.</t>
  </si>
  <si>
    <t>NKE</t>
  </si>
  <si>
    <t>Danaher Corporation</t>
  </si>
  <si>
    <t>DHR</t>
  </si>
  <si>
    <t>Adobe Inc.</t>
  </si>
  <si>
    <t>ADBE</t>
  </si>
  <si>
    <t>Merck &amp; Company, Inc.</t>
  </si>
  <si>
    <t>MRK</t>
  </si>
  <si>
    <t>Integrated Freight &amp; Logistics</t>
  </si>
  <si>
    <t>United Parcel Service, Inc.</t>
  </si>
  <si>
    <t>UPS</t>
  </si>
  <si>
    <t>Restaurants</t>
  </si>
  <si>
    <t>McDonald's Corporation</t>
  </si>
  <si>
    <t>MCD</t>
  </si>
  <si>
    <t>QUALCOMM Incorporated</t>
  </si>
  <si>
    <t>QCOM</t>
  </si>
  <si>
    <t>Railroads</t>
  </si>
  <si>
    <t>Union Pacific Corporation</t>
  </si>
  <si>
    <t>UNP</t>
  </si>
  <si>
    <t>Texas Instruments Incorporated</t>
  </si>
  <si>
    <t>TXN</t>
  </si>
  <si>
    <t>AT&amp;T Inc.</t>
  </si>
  <si>
    <t>T</t>
  </si>
  <si>
    <t>Netflix, Inc.</t>
  </si>
  <si>
    <t>NFLX</t>
  </si>
  <si>
    <t>Utilities—Regulated Electric</t>
  </si>
  <si>
    <t>NextEra Energy, Inc.</t>
  </si>
  <si>
    <t>NEE</t>
  </si>
  <si>
    <t>Specialty Chemicals</t>
  </si>
  <si>
    <t>Linde plc</t>
  </si>
  <si>
    <t>LIN</t>
  </si>
  <si>
    <t>Bristol-Myers Squibb Company</t>
  </si>
  <si>
    <t>BMY</t>
  </si>
  <si>
    <t>T-Mobile US, Inc.</t>
  </si>
  <si>
    <t>TMUS</t>
  </si>
  <si>
    <t>Aerospace &amp; Defense</t>
  </si>
  <si>
    <t>Raytheon Technologies Corporati</t>
  </si>
  <si>
    <t>RTX</t>
  </si>
  <si>
    <t>Lowe's Companies, Inc.</t>
  </si>
  <si>
    <t>LOW</t>
  </si>
  <si>
    <t>Advanced Micro Devices, Inc.</t>
  </si>
  <si>
    <t>AMD</t>
  </si>
  <si>
    <t>Tobacco</t>
  </si>
  <si>
    <t>Philip Morris International Inc</t>
  </si>
  <si>
    <t>PM</t>
  </si>
  <si>
    <t>Medtronic plc.</t>
  </si>
  <si>
    <t>MDT</t>
  </si>
  <si>
    <t>CVS Health Corporation</t>
  </si>
  <si>
    <t>CVS</t>
  </si>
  <si>
    <t>Financial Data &amp; Stock Exchanges</t>
  </si>
  <si>
    <t>S&amp;P Global Inc.</t>
  </si>
  <si>
    <t>SPGI</t>
  </si>
  <si>
    <t>Oil &amp; Gas E&amp;P</t>
  </si>
  <si>
    <t>ConocoPhillips</t>
  </si>
  <si>
    <t>COP</t>
  </si>
  <si>
    <t>PayPal Holdings, Inc.</t>
  </si>
  <si>
    <t>PYPL</t>
  </si>
  <si>
    <t>Conglomerates</t>
  </si>
  <si>
    <t>Honeywell International Inc.</t>
  </si>
  <si>
    <t>HON</t>
  </si>
  <si>
    <t>Amgen Inc.</t>
  </si>
  <si>
    <t>AMGN</t>
  </si>
  <si>
    <t>Farm &amp; Heavy Construction Machinery</t>
  </si>
  <si>
    <t>Deere &amp; Company</t>
  </si>
  <si>
    <t>DE</t>
  </si>
  <si>
    <t>Intuit Inc.</t>
  </si>
  <si>
    <t>INTU</t>
  </si>
  <si>
    <t>Semiconductor Equipment &amp; Materials</t>
  </si>
  <si>
    <t>Applied Materials, Inc.</t>
  </si>
  <si>
    <t>AMAT</t>
  </si>
  <si>
    <t>Anthem, Inc.</t>
  </si>
  <si>
    <t>ANTM</t>
  </si>
  <si>
    <t>Lockheed Martin Corporation</t>
  </si>
  <si>
    <t>LMT</t>
  </si>
  <si>
    <t>Caterpillar, Inc.</t>
  </si>
  <si>
    <t>CAT</t>
  </si>
  <si>
    <t>International Business Machines</t>
  </si>
  <si>
    <t>IBM</t>
  </si>
  <si>
    <t>ServiceNow, Inc.</t>
  </si>
  <si>
    <t>NOW</t>
  </si>
  <si>
    <t>REIT—Industrial</t>
  </si>
  <si>
    <t>Prologis, Inc.</t>
  </si>
  <si>
    <t>PLD</t>
  </si>
  <si>
    <t>Asset Management</t>
  </si>
  <si>
    <t>BlackRock, Inc.</t>
  </si>
  <si>
    <t>BLK</t>
  </si>
  <si>
    <t>Boeing Company (The)</t>
  </si>
  <si>
    <t>BA</t>
  </si>
  <si>
    <t>REIT—Specialty</t>
  </si>
  <si>
    <t>American Tower Corporation (REI</t>
  </si>
  <si>
    <t>AMT</t>
  </si>
  <si>
    <t>Charter Communications, Inc.</t>
  </si>
  <si>
    <t>CHTR</t>
  </si>
  <si>
    <t>Specialty Industrial Machinery</t>
  </si>
  <si>
    <t>General Electric Company</t>
  </si>
  <si>
    <t>GE</t>
  </si>
  <si>
    <t>Medical Instruments &amp; Supplies</t>
  </si>
  <si>
    <t>Intuitive Surgical, Inc.</t>
  </si>
  <si>
    <t>ISRG</t>
  </si>
  <si>
    <t>Target Corporation</t>
  </si>
  <si>
    <t>TGT</t>
  </si>
  <si>
    <t>Starbucks Corporation</t>
  </si>
  <si>
    <t>SBUX</t>
  </si>
  <si>
    <t>Estee Lauder Companies, Inc. (T</t>
  </si>
  <si>
    <t>EL</t>
  </si>
  <si>
    <t>Stryker Corporation</t>
  </si>
  <si>
    <t>SYK</t>
  </si>
  <si>
    <t>Altria Group, Inc.</t>
  </si>
  <si>
    <t>MO</t>
  </si>
  <si>
    <t>Travel Services</t>
  </si>
  <si>
    <t>Booking Holdings Inc. Common St</t>
  </si>
  <si>
    <t>BKNG</t>
  </si>
  <si>
    <t>Staffing &amp; Employment Services</t>
  </si>
  <si>
    <t>Automatic Data Processing, Inc.</t>
  </si>
  <si>
    <t>ADP</t>
  </si>
  <si>
    <t>Insurance—Property &amp; Casualty</t>
  </si>
  <si>
    <t>Chubb Limited</t>
  </si>
  <si>
    <t>CB</t>
  </si>
  <si>
    <t>Drug Manufacturers—Specialty &amp; Generic</t>
  </si>
  <si>
    <t>Zoetis Inc.</t>
  </si>
  <si>
    <t>ZTS</t>
  </si>
  <si>
    <t>CME Group Inc.</t>
  </si>
  <si>
    <t>CME</t>
  </si>
  <si>
    <t>Micron Technology, Inc.</t>
  </si>
  <si>
    <t>MU</t>
  </si>
  <si>
    <t>Analog Devices, Inc.</t>
  </si>
  <si>
    <t>ADI</t>
  </si>
  <si>
    <t>Confectioners</t>
  </si>
  <si>
    <t>Mondelez International, Inc.</t>
  </si>
  <si>
    <t>MDLZ</t>
  </si>
  <si>
    <t>3M Company</t>
  </si>
  <si>
    <t>MMM</t>
  </si>
  <si>
    <t>Duke Energy Corporation (Holdin</t>
  </si>
  <si>
    <t>DUK</t>
  </si>
  <si>
    <t>Insurance Brokers</t>
  </si>
  <si>
    <t>Marsh &amp; McLennan Companies, Inc</t>
  </si>
  <si>
    <t>MMC</t>
  </si>
  <si>
    <t>CSX Corporation</t>
  </si>
  <si>
    <t>CSX</t>
  </si>
  <si>
    <t>Medical Care Facilities</t>
  </si>
  <si>
    <t>HCA Healthcare, Inc.</t>
  </si>
  <si>
    <t>HCA</t>
  </si>
  <si>
    <t>Lam Research Corporation</t>
  </si>
  <si>
    <t>LRCX</t>
  </si>
  <si>
    <t>Cigna Corporation</t>
  </si>
  <si>
    <t>CI</t>
  </si>
  <si>
    <t>Intercontinental Exchange Inc.</t>
  </si>
  <si>
    <t>ICE</t>
  </si>
  <si>
    <t>Crown Castle International Corp</t>
  </si>
  <si>
    <t>CCI</t>
  </si>
  <si>
    <t>Becton, Dickinson and Company</t>
  </si>
  <si>
    <t>BDX</t>
  </si>
  <si>
    <t>Copper</t>
  </si>
  <si>
    <t>Freeport-McMoRan, Inc.</t>
  </si>
  <si>
    <t>FCX</t>
  </si>
  <si>
    <t>Gilead Sciences, Inc.</t>
  </si>
  <si>
    <t>GILD</t>
  </si>
  <si>
    <t>Southern Company (The)</t>
  </si>
  <si>
    <t>SO</t>
  </si>
  <si>
    <t>Biotechnology</t>
  </si>
  <si>
    <t>Moderna, Inc.</t>
  </si>
  <si>
    <t>MRNA</t>
  </si>
  <si>
    <t>Regeneron Pharmaceuticals, Inc.</t>
  </si>
  <si>
    <t>REGN</t>
  </si>
  <si>
    <t>Apparel Retail</t>
  </si>
  <si>
    <t>TJX Companies, Inc. (The)</t>
  </si>
  <si>
    <t>TJX</t>
  </si>
  <si>
    <t>Norfolk Southern Corporation</t>
  </si>
  <si>
    <t>NSC</t>
  </si>
  <si>
    <t>Northrop Grumman Corporation</t>
  </si>
  <si>
    <t>NOC</t>
  </si>
  <si>
    <t>EOG Resources, Inc.</t>
  </si>
  <si>
    <t>EOG</t>
  </si>
  <si>
    <t>Aon plc</t>
  </si>
  <si>
    <t>AON</t>
  </si>
  <si>
    <t>Edwards Lifesciences Corporatio</t>
  </si>
  <si>
    <t>EW</t>
  </si>
  <si>
    <t>General Dynamics Corporation</t>
  </si>
  <si>
    <t>GD</t>
  </si>
  <si>
    <t>Progressive Corporation (The)</t>
  </si>
  <si>
    <t>PGR</t>
  </si>
  <si>
    <t>Dominion Energy, Inc.</t>
  </si>
  <si>
    <t>D</t>
  </si>
  <si>
    <t>Ford Motor Company</t>
  </si>
  <si>
    <t>F</t>
  </si>
  <si>
    <t>Illinois Tool Works Inc.</t>
  </si>
  <si>
    <t>ITW</t>
  </si>
  <si>
    <t>Public Storage</t>
  </si>
  <si>
    <t>PSA</t>
  </si>
  <si>
    <t>Fiserv, Inc.</t>
  </si>
  <si>
    <t>FISV</t>
  </si>
  <si>
    <t>Sherwin-Williams Company (The)</t>
  </si>
  <si>
    <t>SHW</t>
  </si>
  <si>
    <t>Equinix, Inc.</t>
  </si>
  <si>
    <t>EQIX</t>
  </si>
  <si>
    <t>General Motors Company</t>
  </si>
  <si>
    <t>GM</t>
  </si>
  <si>
    <t>Waste Management</t>
  </si>
  <si>
    <t>Waste Management, Inc.</t>
  </si>
  <si>
    <t>WM</t>
  </si>
  <si>
    <t>Vertex Pharmaceuticals Incorpor</t>
  </si>
  <si>
    <t>VRTX</t>
  </si>
  <si>
    <t>Electronic Gaming &amp; Multimedia</t>
  </si>
  <si>
    <t>Activision Blizzard, Inc</t>
  </si>
  <si>
    <t>ATVI</t>
  </si>
  <si>
    <t>Gold</t>
  </si>
  <si>
    <t>Newmont Corporation</t>
  </si>
  <si>
    <t>NEM</t>
  </si>
  <si>
    <t>Colgate-Palmolive Company</t>
  </si>
  <si>
    <t>CL</t>
  </si>
  <si>
    <t>Eaton Corporation, PLC</t>
  </si>
  <si>
    <t>ETN</t>
  </si>
  <si>
    <t>Boston Scientific Corporation</t>
  </si>
  <si>
    <t>BSX</t>
  </si>
  <si>
    <t>Moody's Corporation</t>
  </si>
  <si>
    <t>MCO</t>
  </si>
  <si>
    <t>Pioneer Natural Resources Compa</t>
  </si>
  <si>
    <t>PXD</t>
  </si>
  <si>
    <t>Oil &amp; Gas Equipment &amp; Services</t>
  </si>
  <si>
    <t>Schlumberger N.V.</t>
  </si>
  <si>
    <t>SLB</t>
  </si>
  <si>
    <t>Fidelity National Information S</t>
  </si>
  <si>
    <t>FIS</t>
  </si>
  <si>
    <t>FedEx Corporation</t>
  </si>
  <si>
    <t>FDX</t>
  </si>
  <si>
    <t>Emerson Electric Company</t>
  </si>
  <si>
    <t>EMR</t>
  </si>
  <si>
    <t>Insurance—Life</t>
  </si>
  <si>
    <t>MetLife, Inc.</t>
  </si>
  <si>
    <t>MET</t>
  </si>
  <si>
    <t>Lodging</t>
  </si>
  <si>
    <t>Marriott International</t>
  </si>
  <si>
    <t>MAR</t>
  </si>
  <si>
    <t>Humana Inc.</t>
  </si>
  <si>
    <t>HUM</t>
  </si>
  <si>
    <t>KLA Corporation</t>
  </si>
  <si>
    <t>KLAC</t>
  </si>
  <si>
    <t>Fortinet, Inc.</t>
  </si>
  <si>
    <t>FTNT</t>
  </si>
  <si>
    <t>Occidental Petroleum Corporatio</t>
  </si>
  <si>
    <t>OXY</t>
  </si>
  <si>
    <t>Illumina, Inc.</t>
  </si>
  <si>
    <t>ILMN</t>
  </si>
  <si>
    <t>Air Products and Chemicals, Inc</t>
  </si>
  <si>
    <t>APD</t>
  </si>
  <si>
    <t>Insurance—Diversified</t>
  </si>
  <si>
    <t>American International Group, I</t>
  </si>
  <si>
    <t>AIG</t>
  </si>
  <si>
    <t>Farm Products</t>
  </si>
  <si>
    <t>Archer-Daniels-Midland Company</t>
  </si>
  <si>
    <t>ADM</t>
  </si>
  <si>
    <t>Utilities—Diversified</t>
  </si>
  <si>
    <t>DBA Sempra</t>
  </si>
  <si>
    <t>SRE</t>
  </si>
  <si>
    <t>Dollar General Corporation</t>
  </si>
  <si>
    <t>DG</t>
  </si>
  <si>
    <t>Ecolab Inc.</t>
  </si>
  <si>
    <t>ECL</t>
  </si>
  <si>
    <t>NXP Semiconductors N.V.</t>
  </si>
  <si>
    <t>NXPI</t>
  </si>
  <si>
    <t>Synopsys, Inc.</t>
  </si>
  <si>
    <t>SNPS</t>
  </si>
  <si>
    <t>L3Harris Technologies, Inc.</t>
  </si>
  <si>
    <t>LHX</t>
  </si>
  <si>
    <t>Centene Corporation</t>
  </si>
  <si>
    <t>CNC</t>
  </si>
  <si>
    <t>Roper Technologies, Inc.</t>
  </si>
  <si>
    <t>ROP</t>
  </si>
  <si>
    <t>American Electric Power Company</t>
  </si>
  <si>
    <t>AEP</t>
  </si>
  <si>
    <t xml:space="preserve">Cognizant Technology Solutions </t>
  </si>
  <si>
    <t>CTSH</t>
  </si>
  <si>
    <t>Packaged Foods</t>
  </si>
  <si>
    <t>The Kraft Heinz Company</t>
  </si>
  <si>
    <t>KHC</t>
  </si>
  <si>
    <t>Chemicals</t>
  </si>
  <si>
    <t>Dow Inc.</t>
  </si>
  <si>
    <t>DOW</t>
  </si>
  <si>
    <t>Specialty Retail</t>
  </si>
  <si>
    <t>O'Reilly Automotive, Inc.</t>
  </si>
  <si>
    <t>ORLY</t>
  </si>
  <si>
    <t>Autodesk, Inc.</t>
  </si>
  <si>
    <t>ADSK</t>
  </si>
  <si>
    <t>Engineering &amp; Construction</t>
  </si>
  <si>
    <t xml:space="preserve">Johnson Controls International </t>
  </si>
  <si>
    <t>JCI</t>
  </si>
  <si>
    <t>Paychex, Inc.</t>
  </si>
  <si>
    <t>PAYX</t>
  </si>
  <si>
    <t>Medical Distribution</t>
  </si>
  <si>
    <t>McKesson Corporation</t>
  </si>
  <si>
    <t>MCK</t>
  </si>
  <si>
    <t>IDEXX Laboratories, Inc.</t>
  </si>
  <si>
    <t>IDXX</t>
  </si>
  <si>
    <t>DexCom, Inc.</t>
  </si>
  <si>
    <t>DXCM</t>
  </si>
  <si>
    <t>Oil &amp; Gas Refining &amp; Marketing</t>
  </si>
  <si>
    <t>Marathon Petroleum Corporation</t>
  </si>
  <si>
    <t>MPC</t>
  </si>
  <si>
    <t>Electronic Components</t>
  </si>
  <si>
    <t>Amphenol Corporation</t>
  </si>
  <si>
    <t>APH</t>
  </si>
  <si>
    <t>Cadence Design Systems, Inc.</t>
  </si>
  <si>
    <t>CDNS</t>
  </si>
  <si>
    <t>Prudential Financial, Inc.</t>
  </si>
  <si>
    <t>PRU</t>
  </si>
  <si>
    <t>The Travelers Companies, Inc.</t>
  </si>
  <si>
    <t>TRV</t>
  </si>
  <si>
    <t>The Hershey Company</t>
  </si>
  <si>
    <t>HSY</t>
  </si>
  <si>
    <t>Chipotle Mexican Grill, Inc.</t>
  </si>
  <si>
    <t>CMG</t>
  </si>
  <si>
    <t>Exelon Corporation</t>
  </si>
  <si>
    <t>EXC</t>
  </si>
  <si>
    <t>Microchip Technology Incorporat</t>
  </si>
  <si>
    <t>MCHP</t>
  </si>
  <si>
    <t>TE Connectivity Ltd. New Switze</t>
  </si>
  <si>
    <t>TEL</t>
  </si>
  <si>
    <t>Computer Hardware</t>
  </si>
  <si>
    <t>Arista Networks, Inc.</t>
  </si>
  <si>
    <t>ANET</t>
  </si>
  <si>
    <t>IQVIA Holdings, Inc.</t>
  </si>
  <si>
    <t>IQV</t>
  </si>
  <si>
    <t>REIT—Retail</t>
  </si>
  <si>
    <t>Simon Property Group, Inc.</t>
  </si>
  <si>
    <t>SPG</t>
  </si>
  <si>
    <t>Specialty Business Services</t>
  </si>
  <si>
    <t>Cintas Corporation</t>
  </si>
  <si>
    <t>CTAS</t>
  </si>
  <si>
    <t>Agricultural Inputs</t>
  </si>
  <si>
    <t>Corteva, Inc.</t>
  </si>
  <si>
    <t>CTVA</t>
  </si>
  <si>
    <t>Beverages—Wineries &amp; Distilleries</t>
  </si>
  <si>
    <t>Constellation Brands, Inc.</t>
  </si>
  <si>
    <t>STZ</t>
  </si>
  <si>
    <t>Hilton Worldwide Holdings Inc.</t>
  </si>
  <si>
    <t>HLT</t>
  </si>
  <si>
    <t>REIT—Healthcare Facilities</t>
  </si>
  <si>
    <t>Welltower Inc.</t>
  </si>
  <si>
    <t>WELL</t>
  </si>
  <si>
    <t>AFLAC Incorporated</t>
  </si>
  <si>
    <t>AFL</t>
  </si>
  <si>
    <t>Food Distribution</t>
  </si>
  <si>
    <t>Sysco Corporation</t>
  </si>
  <si>
    <t>SYY</t>
  </si>
  <si>
    <t>Grocery Stores</t>
  </si>
  <si>
    <t>Kroger Company (The)</t>
  </si>
  <si>
    <t>KR</t>
  </si>
  <si>
    <t>Monster Beverage Corporation</t>
  </si>
  <si>
    <t>MNST</t>
  </si>
  <si>
    <t>Oil &amp; Gas Midstream</t>
  </si>
  <si>
    <t>Kinder Morgan, Inc.</t>
  </si>
  <si>
    <t>KMI</t>
  </si>
  <si>
    <t>Steel</t>
  </si>
  <si>
    <t>Nucor Corporation</t>
  </si>
  <si>
    <t>NUE</t>
  </si>
  <si>
    <t>Republic Services, Inc.</t>
  </si>
  <si>
    <t>RSG</t>
  </si>
  <si>
    <t>Agilent Technologies, Inc.</t>
  </si>
  <si>
    <t>A</t>
  </si>
  <si>
    <t>Devon Energy Corporation</t>
  </si>
  <si>
    <t>DVN</t>
  </si>
  <si>
    <t>Pharmaceutical Retailers</t>
  </si>
  <si>
    <t>Walgreens Boots Alliance, Inc.</t>
  </si>
  <si>
    <t>WBA</t>
  </si>
  <si>
    <t>HP Inc.</t>
  </si>
  <si>
    <t>HPQ</t>
  </si>
  <si>
    <t>Kimberly-Clark Corporation</t>
  </si>
  <si>
    <t>KMB</t>
  </si>
  <si>
    <t>MSCI Inc</t>
  </si>
  <si>
    <t>MSCI</t>
  </si>
  <si>
    <t>Williams Companies, Inc. (The)</t>
  </si>
  <si>
    <t>WMB</t>
  </si>
  <si>
    <t>AutoZone, Inc.</t>
  </si>
  <si>
    <t>AZO</t>
  </si>
  <si>
    <t>General Mills, Inc.</t>
  </si>
  <si>
    <t>GIS</t>
  </si>
  <si>
    <t>Baker Hughes Company</t>
  </si>
  <si>
    <t>BKR</t>
  </si>
  <si>
    <t>Realty Income Corporation</t>
  </si>
  <si>
    <t>O</t>
  </si>
  <si>
    <t>Valero Energy Corporation</t>
  </si>
  <si>
    <t>VLO</t>
  </si>
  <si>
    <t>Building Products &amp; Equipment</t>
  </si>
  <si>
    <t>Carrier Global Corporation</t>
  </si>
  <si>
    <t>CARR</t>
  </si>
  <si>
    <t>DuPont de Nemours, Inc.</t>
  </si>
  <si>
    <t>DD</t>
  </si>
  <si>
    <t>Baxter International Inc.</t>
  </si>
  <si>
    <t>BAX</t>
  </si>
  <si>
    <t>REIT—Office</t>
  </si>
  <si>
    <t>Digital Realty Trust, Inc.</t>
  </si>
  <si>
    <t>DLR</t>
  </si>
  <si>
    <t>Motorola Solutions, Inc.</t>
  </si>
  <si>
    <t>MSI</t>
  </si>
  <si>
    <t>Allstate Corporation (The)</t>
  </si>
  <si>
    <t>ALL</t>
  </si>
  <si>
    <t>Xcel Energy Inc.</t>
  </si>
  <si>
    <t>XEL</t>
  </si>
  <si>
    <t>Global Payments Inc.</t>
  </si>
  <si>
    <t>GPN</t>
  </si>
  <si>
    <t>Transdigm Group Incorporated</t>
  </si>
  <si>
    <t>TDG</t>
  </si>
  <si>
    <t>Parker-Hannifin Corporation</t>
  </si>
  <si>
    <t>PH</t>
  </si>
  <si>
    <t>Trucking</t>
  </si>
  <si>
    <t>Old Dominion Freight Line, Inc.</t>
  </si>
  <si>
    <t>ODFL</t>
  </si>
  <si>
    <t>Trane Technologies plc</t>
  </si>
  <si>
    <t>TT</t>
  </si>
  <si>
    <t>Phillips 66</t>
  </si>
  <si>
    <t>PSX</t>
  </si>
  <si>
    <t>Electronic Arts Inc.</t>
  </si>
  <si>
    <t>EA</t>
  </si>
  <si>
    <t>Dollar Tree, Inc.</t>
  </si>
  <si>
    <t>DLTR</t>
  </si>
  <si>
    <t>ResMed Inc.</t>
  </si>
  <si>
    <t>RMD</t>
  </si>
  <si>
    <t>LyondellBasell Industries NV</t>
  </si>
  <si>
    <t>LYB</t>
  </si>
  <si>
    <t>SBA Communications Corporation</t>
  </si>
  <si>
    <t>SBAC</t>
  </si>
  <si>
    <t>Arthur J. Gallagher &amp; Co.</t>
  </si>
  <si>
    <t>AJG</t>
  </si>
  <si>
    <t>Yum! Brands, Inc.</t>
  </si>
  <si>
    <t>YUM</t>
  </si>
  <si>
    <t>Ameriprise Financial, Inc.</t>
  </si>
  <si>
    <t>AMP</t>
  </si>
  <si>
    <t>Align Technology, Inc.</t>
  </si>
  <si>
    <t>ALGN</t>
  </si>
  <si>
    <t>REIT—Residential</t>
  </si>
  <si>
    <t>AvalonBay Communities, Inc.</t>
  </si>
  <si>
    <t>AVB</t>
  </si>
  <si>
    <t>Public Service Enterprise Group</t>
  </si>
  <si>
    <t>PEG</t>
  </si>
  <si>
    <t>T. Rowe Price Group, Inc.</t>
  </si>
  <si>
    <t>TROW</t>
  </si>
  <si>
    <t>Halliburton Company</t>
  </si>
  <si>
    <t>HAL</t>
  </si>
  <si>
    <t>eBay Inc.</t>
  </si>
  <si>
    <t>EBAY</t>
  </si>
  <si>
    <t>Consulting Services</t>
  </si>
  <si>
    <t>Verisk Analytics, Inc.</t>
  </si>
  <si>
    <t>VRSK</t>
  </si>
  <si>
    <t>Sr.NO</t>
  </si>
  <si>
    <t>Company</t>
  </si>
  <si>
    <t>Industry</t>
  </si>
  <si>
    <t>Profit Margin</t>
  </si>
  <si>
    <t>Revenue Growth</t>
  </si>
  <si>
    <t>Current Ratio</t>
  </si>
  <si>
    <t>ROA</t>
  </si>
  <si>
    <t>Debt-to-Equity</t>
  </si>
  <si>
    <t>ROE</t>
  </si>
  <si>
    <t>Forward P/E</t>
  </si>
  <si>
    <t>Stock ticker</t>
  </si>
  <si>
    <t>Price-to-Book</t>
  </si>
  <si>
    <t>PEG Ratio</t>
  </si>
  <si>
    <t>EV/Revenue</t>
  </si>
  <si>
    <t>EV/EBITDA</t>
  </si>
  <si>
    <t>Market Cap</t>
  </si>
  <si>
    <t>Current Price</t>
  </si>
  <si>
    <t>Row Labels</t>
  </si>
  <si>
    <t>Grand Total</t>
  </si>
  <si>
    <t>Average of Profit Margin</t>
  </si>
  <si>
    <t>Average of Revenue Growth</t>
  </si>
  <si>
    <t>Average of Current Ratio</t>
  </si>
  <si>
    <t>Average of ROA</t>
  </si>
  <si>
    <t>Average of Debt-to-Equity</t>
  </si>
  <si>
    <t>Average of ROE</t>
  </si>
  <si>
    <t>Industry Avg Profit Margin</t>
  </si>
  <si>
    <t>Profit Margin Difference</t>
  </si>
  <si>
    <t>Profit Score</t>
  </si>
  <si>
    <t>Industry Avg Revenue Growth</t>
  </si>
  <si>
    <t>Revenue Growth Difference</t>
  </si>
  <si>
    <t>Growth Score</t>
  </si>
  <si>
    <t>Industry Avg Current Ratio</t>
  </si>
  <si>
    <t>Current Ratio Difference</t>
  </si>
  <si>
    <t>Liquidity Score</t>
  </si>
  <si>
    <t>Industry Avg ROA</t>
  </si>
  <si>
    <t>ROA Difference</t>
  </si>
  <si>
    <t>ROA Score</t>
  </si>
  <si>
    <t>Industry Avg Debt-to-Equity</t>
  </si>
  <si>
    <t>Debt Difference</t>
  </si>
  <si>
    <t>Leverage Score</t>
  </si>
  <si>
    <t>Industry Avg ROE</t>
  </si>
  <si>
    <t>ROE Difference</t>
  </si>
  <si>
    <t>ROE Score</t>
  </si>
  <si>
    <t>Financial Health Score</t>
  </si>
  <si>
    <t>Financial Health %</t>
  </si>
  <si>
    <t>Financial Health Rating</t>
  </si>
  <si>
    <t>Financial Performance Analysis – US Companies</t>
  </si>
  <si>
    <t>Overall KPI Summary</t>
  </si>
  <si>
    <t>Top 10 Companies</t>
  </si>
  <si>
    <t>Bottom 10 Companies</t>
  </si>
  <si>
    <t>Industry Performance</t>
  </si>
  <si>
    <t>Total Companies</t>
  </si>
  <si>
    <t>Average Company Score</t>
  </si>
  <si>
    <t>Strong Companies</t>
  </si>
  <si>
    <t>Weak Companies</t>
  </si>
  <si>
    <t>Excellent</t>
  </si>
  <si>
    <t>Strong</t>
  </si>
  <si>
    <t>Score</t>
  </si>
  <si>
    <t>Rating</t>
  </si>
  <si>
    <t>Weak</t>
  </si>
  <si>
    <t>Average of Financial Health Score</t>
  </si>
  <si>
    <t>Count of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</si>
</sst>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0" fontId="0" fillId="0" borderId="0" xfId="1" applyNumberFormat="1" applyFont="1"/>
    <xf numFmtId="2" fontId="0" fillId="0" borderId="0" xfId="0" applyNumberFormat="1"/>
    <xf numFmtId="0" fontId="4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1" xfId="0" applyBorder="1"/>
    <xf numFmtId="2" fontId="0" fillId="0" borderId="1" xfId="0" applyNumberFormat="1" applyBorder="1"/>
    <xf numFmtId="10" fontId="0" fillId="0" borderId="1" xfId="1" applyNumberFormat="1" applyFont="1" applyBorder="1"/>
    <xf numFmtId="0" fontId="0" fillId="0" borderId="1" xfId="0" applyBorder="1" applyAlignment="1">
      <alignment horizontal="left"/>
    </xf>
    <xf numFmtId="10" fontId="0" fillId="0" borderId="1" xfId="0" applyNumberFormat="1" applyBorder="1"/>
    <xf numFmtId="0" fontId="0" fillId="0" borderId="2" xfId="0" applyBorder="1" applyAlignment="1">
      <alignment horizontal="left"/>
    </xf>
    <xf numFmtId="10" fontId="0" fillId="0" borderId="3" xfId="1" applyNumberFormat="1" applyFont="1" applyBorder="1"/>
    <xf numFmtId="0" fontId="0" fillId="0" borderId="4" xfId="0" applyBorder="1" applyAlignment="1">
      <alignment horizontal="left"/>
    </xf>
    <xf numFmtId="10" fontId="0" fillId="0" borderId="5" xfId="0" applyNumberFormat="1" applyBorder="1"/>
    <xf numFmtId="2" fontId="0" fillId="0" borderId="5" xfId="0" applyNumberFormat="1" applyBorder="1"/>
    <xf numFmtId="10" fontId="0" fillId="0" borderId="5" xfId="1" applyNumberFormat="1" applyFont="1" applyBorder="1"/>
    <xf numFmtId="10" fontId="0" fillId="0" borderId="6" xfId="1" applyNumberFormat="1" applyFont="1" applyBorder="1"/>
    <xf numFmtId="0" fontId="0" fillId="0" borderId="7" xfId="0" applyBorder="1" applyAlignment="1">
      <alignment horizontal="left"/>
    </xf>
    <xf numFmtId="10" fontId="0" fillId="0" borderId="8" xfId="0" applyNumberFormat="1" applyBorder="1"/>
    <xf numFmtId="2" fontId="0" fillId="0" borderId="8" xfId="0" applyNumberFormat="1" applyBorder="1"/>
    <xf numFmtId="10" fontId="0" fillId="0" borderId="8" xfId="1" applyNumberFormat="1" applyFont="1" applyBorder="1"/>
    <xf numFmtId="10" fontId="0" fillId="0" borderId="9" xfId="1" applyNumberFormat="1" applyFont="1" applyBorder="1"/>
    <xf numFmtId="0" fontId="0" fillId="0" borderId="10" xfId="0" pivotButton="1" applyBorder="1"/>
    <xf numFmtId="0" fontId="0" fillId="0" borderId="11" xfId="0" applyBorder="1"/>
    <xf numFmtId="2" fontId="0" fillId="0" borderId="11" xfId="0" applyNumberFormat="1" applyBorder="1"/>
    <xf numFmtId="10" fontId="0" fillId="0" borderId="11" xfId="1" applyNumberFormat="1" applyFont="1" applyBorder="1"/>
    <xf numFmtId="10" fontId="0" fillId="0" borderId="12" xfId="1" applyNumberFormat="1" applyFont="1" applyBorder="1"/>
    <xf numFmtId="0" fontId="1" fillId="0" borderId="13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0" fontId="4" fillId="0" borderId="1" xfId="0" applyFont="1" applyBorder="1" applyAlignment="1">
      <alignment horizontal="left" vertical="top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10" fontId="0" fillId="0" borderId="5" xfId="1" applyNumberFormat="1" applyFont="1" applyBorder="1" applyAlignment="1">
      <alignment horizontal="center"/>
    </xf>
    <xf numFmtId="2" fontId="0" fillId="0" borderId="5" xfId="1" applyNumberFormat="1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10" fontId="0" fillId="0" borderId="8" xfId="1" applyNumberFormat="1" applyFont="1" applyBorder="1" applyAlignment="1">
      <alignment horizontal="center"/>
    </xf>
    <xf numFmtId="2" fontId="0" fillId="0" borderId="8" xfId="1" applyNumberFormat="1" applyFont="1" applyBorder="1" applyAlignment="1">
      <alignment horizontal="center"/>
    </xf>
    <xf numFmtId="0" fontId="0" fillId="0" borderId="8" xfId="0" applyBorder="1"/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center" vertical="top"/>
    </xf>
    <xf numFmtId="0" fontId="4" fillId="0" borderId="11" xfId="0" applyFont="1" applyBorder="1" applyAlignment="1">
      <alignment horizontal="left" vertical="top"/>
    </xf>
    <xf numFmtId="2" fontId="4" fillId="0" borderId="11" xfId="0" applyNumberFormat="1" applyFont="1" applyBorder="1" applyAlignment="1">
      <alignment horizontal="center"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0" fontId="0" fillId="0" borderId="8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9" fontId="0" fillId="0" borderId="8" xfId="1" applyFont="1" applyBorder="1" applyAlignment="1">
      <alignment horizontal="center"/>
    </xf>
    <xf numFmtId="0" fontId="0" fillId="0" borderId="9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3" xfId="0" applyBorder="1" applyAlignment="1">
      <alignment horizontal="center"/>
    </xf>
    <xf numFmtId="10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9" fontId="0" fillId="0" borderId="5" xfId="1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0" xfId="1" applyFont="1" applyAlignment="1">
      <alignment horizontal="center"/>
    </xf>
    <xf numFmtId="10" fontId="2" fillId="0" borderId="11" xfId="1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9" fontId="2" fillId="0" borderId="11" xfId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2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2" fillId="3" borderId="10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0" fillId="0" borderId="1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52"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4" formatCode="0.00%"/>
      <alignment horizontal="center" textRotation="0" wrapText="0" indent="0" justifyLastLine="0" shrinkToFit="0" readingOrder="0"/>
    </dxf>
    <dxf>
      <numFmt numFmtId="167" formatCode="0.0"/>
      <alignment horizontal="center" textRotation="0" wrapText="0" indent="0" justifyLastLine="0" shrinkToFit="0" readingOrder="0"/>
    </dxf>
    <dxf>
      <numFmt numFmtId="14" formatCode="0.00%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4" formatCode="0.00%"/>
      <alignment horizontal="center" textRotation="0" wrapText="0" indent="0" justifyLastLine="0" shrinkToFit="0" readingOrder="0"/>
    </dxf>
    <dxf>
      <numFmt numFmtId="14" formatCode="0.00%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54.657269212963" createdVersion="8" refreshedVersion="8" minRefreshableVersion="3" recordCount="226" xr:uid="{B8D4D027-F247-4DD6-AFA9-FAFA4448D1CB}">
  <cacheSource type="worksheet">
    <worksheetSource name="FinancialData3"/>
  </cacheSource>
  <cacheFields count="17">
    <cacheField name="Sr.NO" numFmtId="0">
      <sharedItems containsSemiMixedTypes="0" containsString="0" containsNumber="1" containsInteger="1" minValue="0" maxValue="240"/>
    </cacheField>
    <cacheField name="Company" numFmtId="0">
      <sharedItems/>
    </cacheField>
    <cacheField name="Industry" numFmtId="0">
      <sharedItems count="81">
        <s v="Consumer Electronics"/>
        <s v="Software—Infrastructure"/>
        <s v="Internet Content &amp; Information"/>
        <s v="Internet Retail"/>
        <s v="Auto Manufacturers"/>
        <s v="Semiconductors"/>
        <s v="Healthcare Plans"/>
        <s v="Credit Services"/>
        <s v="Drug Manufacturers—General"/>
        <s v="Discount Stores"/>
        <s v="Household &amp; Personal Products"/>
        <s v="Oil &amp; Gas Integrated"/>
        <s v="Home Improvement Retail"/>
        <s v="Beverages—Non-Alcoholic"/>
        <s v="Entertainment"/>
        <s v="Communication Equipment"/>
        <s v="Diagnostics &amp; Research"/>
        <s v="Information Technology Services"/>
        <s v="Telecom Services"/>
        <s v="Software—Application"/>
        <s v="Medical Devices"/>
        <s v="Footwear &amp; Accessories"/>
        <s v="Integrated Freight &amp; Logistics"/>
        <s v="Restaurants"/>
        <s v="Railroads"/>
        <s v="Utilities—Regulated Electric"/>
        <s v="Specialty Chemicals"/>
        <s v="Aerospace &amp; Defense"/>
        <s v="Tobacco"/>
        <s v="Financial Data &amp; Stock Exchanges"/>
        <s v="Oil &amp; Gas E&amp;P"/>
        <s v="Conglomerates"/>
        <s v="Farm &amp; Heavy Construction Machinery"/>
        <s v="Semiconductor Equipment &amp; Materials"/>
        <s v="REIT—Industrial"/>
        <s v="Asset Management"/>
        <s v="REIT—Specialty"/>
        <s v="Specialty Industrial Machinery"/>
        <s v="Medical Instruments &amp; Supplies"/>
        <s v="Travel Services"/>
        <s v="Staffing &amp; Employment Services"/>
        <s v="Insurance—Property &amp; Casualty"/>
        <s v="Drug Manufacturers—Specialty &amp; Generic"/>
        <s v="Confectioners"/>
        <s v="Insurance Brokers"/>
        <s v="Medical Care Facilities"/>
        <s v="Copper"/>
        <s v="Biotechnology"/>
        <s v="Apparel Retail"/>
        <s v="Waste Management"/>
        <s v="Electronic Gaming &amp; Multimedia"/>
        <s v="Gold"/>
        <s v="Oil &amp; Gas Equipment &amp; Services"/>
        <s v="Insurance—Life"/>
        <s v="Lodging"/>
        <s v="Insurance—Diversified"/>
        <s v="Farm Products"/>
        <s v="Utilities—Diversified"/>
        <s v="Packaged Foods"/>
        <s v="Chemicals"/>
        <s v="Specialty Retail"/>
        <s v="Engineering &amp; Construction"/>
        <s v="Medical Distribution"/>
        <s v="Oil &amp; Gas Refining &amp; Marketing"/>
        <s v="Electronic Components"/>
        <s v="Computer Hardware"/>
        <s v="REIT—Retail"/>
        <s v="Specialty Business Services"/>
        <s v="Agricultural Inputs"/>
        <s v="Beverages—Wineries &amp; Distilleries"/>
        <s v="REIT—Healthcare Facilities"/>
        <s v="Food Distribution"/>
        <s v="Grocery Stores"/>
        <s v="Oil &amp; Gas Midstream"/>
        <s v="Steel"/>
        <s v="Pharmaceutical Retailers"/>
        <s v="Building Products &amp; Equipment"/>
        <s v="REIT—Office"/>
        <s v="Trucking"/>
        <s v="REIT—Residential"/>
        <s v="Consulting Services"/>
      </sharedItems>
    </cacheField>
    <cacheField name="Profit Margin" numFmtId="10">
      <sharedItems containsSemiMixedTypes="0" containsString="0" containsNumber="1" minValue="-7.2999999999999995E-2" maxValue="1.0704899999999999"/>
    </cacheField>
    <cacheField name="Revenue Growth" numFmtId="10">
      <sharedItems containsSemiMixedTypes="0" containsString="0" containsNumber="1" minValue="-0.19700000000000001" maxValue="30.65"/>
    </cacheField>
    <cacheField name="Current Price" numFmtId="0">
      <sharedItems containsSemiMixedTypes="0" containsString="0" containsNumber="1" minValue="16.47" maxValue="3295.47"/>
    </cacheField>
    <cacheField name="Current Ratio" numFmtId="0">
      <sharedItems containsString="0" containsBlank="1" containsNumber="1" minValue="0.28599999999999998" maxValue="7.1449999999999996"/>
    </cacheField>
    <cacheField name="ROA" numFmtId="10">
      <sharedItems containsString="0" containsBlank="1" containsNumber="1" minValue="-2.1700000000000001E-3" maxValue="0.372"/>
    </cacheField>
    <cacheField name="Debt-to-Equity" numFmtId="0">
      <sharedItems containsSemiMixedTypes="0" containsString="0" containsNumber="1" minValue="0" maxValue="4373.43"/>
    </cacheField>
    <cacheField name="ROE" numFmtId="10">
      <sharedItems containsString="0" containsBlank="1" containsNumber="1" minValue="-4.4269999999999997E-2" maxValue="14.01754"/>
    </cacheField>
    <cacheField name="Stock ticker" numFmtId="0">
      <sharedItems/>
    </cacheField>
    <cacheField name="EV/Revenue" numFmtId="0">
      <sharedItems containsSemiMixedTypes="0" containsString="0" containsNumber="1" minValue="0.185" maxValue="29.858000000000001"/>
    </cacheField>
    <cacheField name="EV/EBITDA" numFmtId="0">
      <sharedItems containsSemiMixedTypes="0" containsString="0" containsNumber="1" minValue="4.5549999999999997" maxValue="175.75"/>
    </cacheField>
    <cacheField name="Price-to-Book" numFmtId="0">
      <sharedItems containsString="0" containsBlank="1" containsNumber="1" minValue="0.74004227" maxValue="314.13547"/>
    </cacheField>
    <cacheField name="PEG Ratio" numFmtId="0">
      <sharedItems containsString="0" containsBlank="1" containsNumber="1" minValue="-43.47" maxValue="17.38"/>
    </cacheField>
    <cacheField name="Forward P/E" numFmtId="0">
      <sharedItems containsString="0" containsBlank="1" containsNumber="1" minValue="1.0677726000000001" maxValue="132.86464000000001"/>
    </cacheField>
    <cacheField name="Market Cap" numFmtId="0">
      <sharedItems containsString="0" containsBlank="1" containsNumber="1" containsInteger="1" minValue="33521485824" maxValue="28513256079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54.890609027774" createdVersion="8" refreshedVersion="8" minRefreshableVersion="3" recordCount="226" xr:uid="{55CD6FAB-D00B-4B99-B691-19649A891C3C}">
  <cacheSource type="worksheet">
    <worksheetSource ref="A1:AD227" sheet="Company_Scoring"/>
  </cacheSource>
  <cacheFields count="30">
    <cacheField name="Company" numFmtId="0">
      <sharedItems/>
    </cacheField>
    <cacheField name="Stock ticker" numFmtId="0">
      <sharedItems/>
    </cacheField>
    <cacheField name="Industry" numFmtId="0">
      <sharedItems count="81">
        <s v="Telecom Services"/>
        <s v="Specialty Industrial Machinery"/>
        <s v="REIT—Industrial"/>
        <s v="Software—Infrastructure"/>
        <s v="Semiconductors"/>
        <s v="Credit Services"/>
        <s v="Home Improvement Retail"/>
        <s v="Information Technology Services"/>
        <s v="Healthcare Plans"/>
        <s v="Aerospace &amp; Defense"/>
        <s v="REIT—Specialty"/>
        <s v="Medical Instruments &amp; Supplies"/>
        <s v="Conglomerates"/>
        <s v="Insurance Brokers"/>
        <s v="Semiconductor Equipment &amp; Materials"/>
        <s v="Waste Management"/>
        <s v="Discount Stores"/>
        <s v="Utilities—Regulated Electric"/>
        <s v="Medical Devices"/>
        <s v="Electronic Components"/>
        <s v="Confectioners"/>
        <s v="Utilities—Diversified"/>
        <s v="Computer Hardware"/>
        <s v="Specialty Business Services"/>
        <s v="Oil &amp; Gas E&amp;P"/>
        <s v="Packaged Foods"/>
        <s v="Insurance—Property &amp; Casualty"/>
        <s v="Internet Content &amp; Information"/>
        <s v="Drug Manufacturers—General"/>
        <s v="Integrated Freight &amp; Logistics"/>
        <s v="Railroads"/>
        <s v="Entertainment"/>
        <s v="Tobacco"/>
        <s v="Farm &amp; Heavy Construction Machinery"/>
        <s v="Software—Application"/>
        <s v="Biotechnology"/>
        <s v="Electronic Gaming &amp; Multimedia"/>
        <s v="Lodging"/>
        <s v="Staffing &amp; Employment Services"/>
        <s v="Diagnostics &amp; Research"/>
        <s v="REIT—Retail"/>
        <s v="Oil &amp; Gas Midstream"/>
        <s v="Oil &amp; Gas Refining &amp; Marketing"/>
        <s v="Specialty Chemicals"/>
        <s v="Asset Management"/>
        <s v="Oil &amp; Gas Equipment &amp; Services"/>
        <s v="Internet Retail"/>
        <s v="Auto Manufacturers"/>
        <s v="Beverages—Non-Alcoholic"/>
        <s v="Communication Equipment"/>
        <s v="Financial Data &amp; Stock Exchanges"/>
        <s v="Household &amp; Personal Products"/>
        <s v="Restaurants"/>
        <s v="Insurance—Life"/>
        <s v="Oil &amp; Gas Integrated"/>
        <s v="Specialty Retail"/>
        <s v="Consumer Electronics"/>
        <s v="Footwear &amp; Accessories"/>
        <s v="Travel Services"/>
        <s v="Drug Manufacturers—Specialty &amp; Generic"/>
        <s v="Medical Care Facilities"/>
        <s v="Copper"/>
        <s v="Apparel Retail"/>
        <s v="Gold"/>
        <s v="Insurance—Diversified"/>
        <s v="Farm Products"/>
        <s v="Chemicals"/>
        <s v="Engineering &amp; Construction"/>
        <s v="Medical Distribution"/>
        <s v="Agricultural Inputs"/>
        <s v="Beverages—Wineries &amp; Distilleries"/>
        <s v="REIT—Healthcare Facilities"/>
        <s v="Food Distribution"/>
        <s v="Grocery Stores"/>
        <s v="Steel"/>
        <s v="Pharmaceutical Retailers"/>
        <s v="Building Products &amp; Equipment"/>
        <s v="REIT—Office"/>
        <s v="Trucking"/>
        <s v="REIT—Residential"/>
        <s v="Consulting Services"/>
      </sharedItems>
    </cacheField>
    <cacheField name="Profit Margin" numFmtId="10">
      <sharedItems containsSemiMixedTypes="0" containsString="0" containsNumber="1" minValue="-7.2999999999999995E-2" maxValue="1.0704899999999999"/>
    </cacheField>
    <cacheField name="Industry Avg Profit Margin" numFmtId="10">
      <sharedItems containsSemiMixedTypes="0" containsString="0" containsNumber="1" minValue="-6.1000003000000001E-3" maxValue="0.57074999999999998"/>
    </cacheField>
    <cacheField name="Profit Margin Difference" numFmtId="10">
      <sharedItems containsSemiMixedTypes="0" containsString="0" containsNumber="1" minValue="-0.49973999999999996" maxValue="0.49973999999999996"/>
    </cacheField>
    <cacheField name="Profit Score" numFmtId="2">
      <sharedItems containsSemiMixedTypes="0" containsString="0" containsNumber="1" containsInteger="1" minValue="0" maxValue="1"/>
    </cacheField>
    <cacheField name="Revenue Growth" numFmtId="10">
      <sharedItems containsSemiMixedTypes="0" containsString="0" containsNumber="1" minValue="-0.19700000000000001" maxValue="30.65"/>
    </cacheField>
    <cacheField name="Industry Avg Revenue Growth" numFmtId="10">
      <sharedItems containsSemiMixedTypes="0" containsString="0" containsNumber="1" minValue="-8.6999999999999994E-2" maxValue="10.661333333333333"/>
    </cacheField>
    <cacheField name="Revenue Growth Difference" numFmtId="10">
      <sharedItems containsSemiMixedTypes="0" containsString="0" containsNumber="1" minValue="-10.371333333333334" maxValue="19.988666666666667"/>
    </cacheField>
    <cacheField name="Growth Score" numFmtId="2">
      <sharedItems containsSemiMixedTypes="0" containsString="0" containsNumber="1" containsInteger="1" minValue="0" maxValue="1"/>
    </cacheField>
    <cacheField name="Current Ratio" numFmtId="0">
      <sharedItems containsString="0" containsBlank="1" containsNumber="1" minValue="0.28599999999999998" maxValue="7.1449999999999996"/>
    </cacheField>
    <cacheField name="Industry Avg Current Ratio" numFmtId="0">
      <sharedItems containsSemiMixedTypes="0" containsString="0" containsNumber="1" minValue="0.36975000000000002" maxValue="3.8559999999999999"/>
    </cacheField>
    <cacheField name="Current Ratio Difference" numFmtId="0">
      <sharedItems containsSemiMixedTypes="0" containsString="0" containsNumber="1" minValue="-2.1510000000000002" maxValue="4.2341999999999995"/>
    </cacheField>
    <cacheField name="Liquidity Score" numFmtId="0">
      <sharedItems containsSemiMixedTypes="0" containsString="0" containsNumber="1" containsInteger="1" minValue="0" maxValue="1"/>
    </cacheField>
    <cacheField name="ROA" numFmtId="10">
      <sharedItems containsString="0" containsBlank="1" containsNumber="1" minValue="-2.1700000000000001E-3" maxValue="0.372"/>
    </cacheField>
    <cacheField name="Industry Avg ROA" numFmtId="10">
      <sharedItems containsSemiMixedTypes="0" containsString="0" containsNumber="1" minValue="8.4100000000000008E-3" maxValue="0.25766333333333336"/>
    </cacheField>
    <cacheField name="ROA Difference" numFmtId="10">
      <sharedItems containsSemiMixedTypes="0" containsString="0" containsNumber="1" minValue="-0.11920333333333336" maxValue="0.15507333299999998"/>
    </cacheField>
    <cacheField name="ROA Score" numFmtId="2">
      <sharedItems containsSemiMixedTypes="0" containsString="0" containsNumber="1" containsInteger="1" minValue="0" maxValue="1"/>
    </cacheField>
    <cacheField name="Debt-to-Equity" numFmtId="0">
      <sharedItems containsSemiMixedTypes="0" containsString="0" containsNumber="1" minValue="0" maxValue="4373.43"/>
    </cacheField>
    <cacheField name="Industry Avg Debt-to-Equity" numFmtId="0">
      <sharedItems containsSemiMixedTypes="0" containsString="0" containsNumber="1" minValue="0" maxValue="2186.7150000000001"/>
    </cacheField>
    <cacheField name="Debt Difference" numFmtId="0">
      <sharedItems containsSemiMixedTypes="0" containsString="0" containsNumber="1" minValue="-2186.7150000000001" maxValue="2186.7150000000001"/>
    </cacheField>
    <cacheField name="Leverage Score" numFmtId="0">
      <sharedItems containsSemiMixedTypes="0" containsString="0" containsNumber="1" containsInteger="1" minValue="0" maxValue="1"/>
    </cacheField>
    <cacheField name="ROE" numFmtId="10">
      <sharedItems containsString="0" containsBlank="1" containsNumber="1" minValue="-4.4269999999999997E-2" maxValue="14.01754"/>
    </cacheField>
    <cacheField name="Industry Avg ROE" numFmtId="10">
      <sharedItems containsSemiMixedTypes="0" containsString="0" containsNumber="1" minValue="-1.1100000999999999E-3" maxValue="14.01754"/>
    </cacheField>
    <cacheField name="ROE Difference" numFmtId="10">
      <sharedItems containsSemiMixedTypes="0" containsString="0" containsNumber="1" minValue="-7.1736700000000004" maxValue="2.9124102500000006"/>
    </cacheField>
    <cacheField name="ROE Score" numFmtId="0">
      <sharedItems containsSemiMixedTypes="0" containsString="0" containsNumber="1" containsInteger="1" minValue="0" maxValue="1"/>
    </cacheField>
    <cacheField name="Financial Health Score" numFmtId="2">
      <sharedItems containsSemiMixedTypes="0" containsString="0" containsNumber="1" containsInteger="1" minValue="0" maxValue="6"/>
    </cacheField>
    <cacheField name="Financial Health %" numFmtId="9">
      <sharedItems containsSemiMixedTypes="0" containsString="0" containsNumber="1" minValue="0" maxValue="1"/>
    </cacheField>
    <cacheField name="Financial Health Rat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">
  <r>
    <n v="0"/>
    <s v="Apple Inc."/>
    <x v="0"/>
    <n v="0.26579002000000002"/>
    <n v="0.112"/>
    <n v="174.72"/>
    <n v="1.038"/>
    <n v="0.19875000000000001"/>
    <n v="170.714"/>
    <n v="1.45567"/>
    <s v="AAPL"/>
    <n v="7.6920000000000002"/>
    <n v="22.696999999999999"/>
    <n v="39.691049999999997"/>
    <n v="1.9"/>
    <n v="26.634148"/>
    <n v="2851325607936"/>
  </r>
  <r>
    <n v="1"/>
    <s v="Microsoft Corporation"/>
    <x v="1"/>
    <n v="0.38498001999999998"/>
    <n v="0.20100000000000001"/>
    <n v="303.68"/>
    <n v="2.2469999999999999"/>
    <n v="0.15248998999999999"/>
    <n v="50.216999999999999"/>
    <n v="0.49051"/>
    <s v="MSFT"/>
    <n v="12.069000000000001"/>
    <n v="24.57"/>
    <n v="14.233889"/>
    <n v="1.87"/>
    <n v="28.249302"/>
    <n v="2276649336832"/>
  </r>
  <r>
    <n v="2"/>
    <s v="Alphabet Inc."/>
    <x v="2"/>
    <n v="0.29511999999999999"/>
    <n v="0.32400000000000001"/>
    <n v="2830.43"/>
    <n v="2.9279999999999999"/>
    <n v="0.14493"/>
    <n v="11.329000000000001"/>
    <n v="0.32068999999999998"/>
    <s v="GOOG"/>
    <n v="6.83"/>
    <n v="19.306999999999999"/>
    <n v="7.4476376000000002"/>
    <n v="1.22"/>
    <n v="20.802807000000001"/>
    <n v="1872632217600"/>
  </r>
  <r>
    <n v="3"/>
    <s v="Alphabet Inc."/>
    <x v="2"/>
    <n v="0.29511999999999999"/>
    <n v="0.32400000000000001"/>
    <n v="2833.46"/>
    <n v="2.9279999999999999"/>
    <n v="0.14493"/>
    <n v="11.329000000000001"/>
    <n v="0.32068999999999998"/>
    <s v="GOOGL"/>
    <n v="6.8380000000000001"/>
    <n v="19.329000000000001"/>
    <n v="7.4556103"/>
    <n v="1.22"/>
    <n v="20.841926999999998"/>
    <n v="1871194226688"/>
  </r>
  <r>
    <n v="4"/>
    <s v="Amazon.com, Inc."/>
    <x v="3"/>
    <n v="7.1010000000000004E-2"/>
    <n v="9.4E-2"/>
    <n v="3295.47"/>
    <n v="1.1359999999999999"/>
    <n v="4.1929998000000003E-2"/>
    <n v="100.864"/>
    <n v="0.28805999999999998"/>
    <s v="AMZN"/>
    <n v="3.6619999999999999"/>
    <n v="29.071000000000002"/>
    <n v="12.133495999999999"/>
    <n v="1.93"/>
    <n v="45.236378000000002"/>
    <n v="1676880117760"/>
  </r>
  <r>
    <n v="5"/>
    <s v="Tesla, Inc."/>
    <x v="4"/>
    <n v="7.4029999999999999E-2"/>
    <n v="0.56799999999999995"/>
    <n v="1010.64"/>
    <n v="1.385"/>
    <n v="5.5370003000000001E-2"/>
    <n v="35.65"/>
    <n v="0.15640999999999999"/>
    <s v="TSLA"/>
    <n v="24.547000000000001"/>
    <n v="158.249"/>
    <n v="37.507514999999998"/>
    <n v="2.52"/>
    <n v="115.369865"/>
    <n v="1014945284096"/>
  </r>
  <r>
    <n v="7"/>
    <s v="NVIDIA Corporation"/>
    <x v="5"/>
    <n v="0.33806000000000003"/>
    <n v="0.503"/>
    <n v="276.92"/>
    <n v="7.1449999999999996"/>
    <n v="0.15934000000000001"/>
    <n v="49.697000000000003"/>
    <n v="0.41939998000000001"/>
    <s v="NVDA"/>
    <n v="29.858000000000001"/>
    <n v="74.268000000000001"/>
    <n v="29.112701000000001"/>
    <n v="1.71"/>
    <n v="53.151634000000001"/>
    <n v="690084642816"/>
  </r>
  <r>
    <n v="8"/>
    <s v="Meta Platforms, Inc."/>
    <x v="2"/>
    <n v="0.33383997999999998"/>
    <n v="0.19900000000000001"/>
    <n v="221.82"/>
    <n v="3.1539999999999999"/>
    <n v="0.17965001"/>
    <n v="11.574"/>
    <n v="0.31102000000000002"/>
    <s v="FB"/>
    <n v="4.5860000000000003"/>
    <n v="9.8840000000000003"/>
    <n v="4.6456394000000003"/>
    <n v="1.1299999999999999"/>
    <n v="15.588195000000001"/>
    <n v="617050013696"/>
  </r>
  <r>
    <n v="9"/>
    <s v="UnitedHealth Group Incorporated"/>
    <x v="6"/>
    <n v="5.5230000000000001E-2"/>
    <n v="0.111"/>
    <n v="513.03"/>
    <n v="0.72"/>
    <n v="6.7900000000000002E-2"/>
    <n v="62.929000000000002"/>
    <n v="0.21984999999999999"/>
    <s v="UNH"/>
    <n v="1.754"/>
    <n v="20.242999999999999"/>
    <n v="6.8766170000000004"/>
    <n v="1.84"/>
    <n v="23.696536999999999"/>
    <n v="483197845504"/>
  </r>
  <r>
    <n v="10"/>
    <s v="Visa Inc."/>
    <x v="7"/>
    <n v="0.51592000000000005"/>
    <n v="0.24099999999999999"/>
    <n v="218.43"/>
    <n v="1.395"/>
    <n v="0.13034999999999999"/>
    <n v="57.8"/>
    <n v="0.35584998000000001"/>
    <s v="V"/>
    <n v="18.202999999999999"/>
    <n v="26.149000000000001"/>
    <m/>
    <m/>
    <m/>
    <m/>
  </r>
  <r>
    <n v="11"/>
    <s v="Johnson &amp; Johnson"/>
    <x v="8"/>
    <n v="0.22264"/>
    <n v="0.104"/>
    <n v="176.92"/>
    <n v="1.3480000000000001"/>
    <n v="8.8419999999999999E-2"/>
    <n v="46.945999999999998"/>
    <n v="0.30412"/>
    <s v="JNJ"/>
    <n v="4.4669999999999996"/>
    <n v="12.836"/>
    <n v="6.6277065000000004"/>
    <n v="2.13"/>
    <n v="17.044315000000001"/>
    <n v="465759600640"/>
  </r>
  <r>
    <n v="13"/>
    <s v="Walmart Inc."/>
    <x v="9"/>
    <n v="2.3869999999999999E-2"/>
    <n v="5.0000000000000001E-3"/>
    <n v="143.44999999999999"/>
    <n v="0.92800000000000005"/>
    <n v="6.5199999999999994E-2"/>
    <n v="62.381999999999998"/>
    <n v="0.15539"/>
    <s v="WMT"/>
    <n v="0.74299999999999999"/>
    <n v="11.625"/>
    <n v="4.8436655999999996"/>
    <n v="2.73"/>
    <n v="21.346724999999999"/>
    <n v="397913096192"/>
  </r>
  <r>
    <n v="14"/>
    <s v="Procter &amp; Gamble Company (The)"/>
    <x v="10"/>
    <n v="0.1852"/>
    <n v="6.0999999999999999E-2"/>
    <n v="152.83000000000001"/>
    <n v="0.67200000000000004"/>
    <n v="9.5140000000000002E-2"/>
    <n v="79.418000000000006"/>
    <n v="0.31091999999999997"/>
    <s v="PG"/>
    <n v="4.9649999999999999"/>
    <n v="18.375"/>
    <n v="8.1727270000000001"/>
    <n v="3.98"/>
    <n v="24.029875000000001"/>
    <n v="369840979968"/>
  </r>
  <r>
    <n v="15"/>
    <s v="Exxon Mobil Corporation"/>
    <x v="11"/>
    <n v="8.2589999999999997E-2"/>
    <n v="0.79400000000000004"/>
    <n v="85.2"/>
    <n v="1.044"/>
    <n v="4.9840003000000001E-2"/>
    <n v="30.184000000000001"/>
    <n v="0.13889000000000001"/>
    <s v="XOM"/>
    <n v="1.341"/>
    <n v="8.1029999999999998"/>
    <n v="2.2461245000000001"/>
    <n v="13.11"/>
    <n v="14.489795000000001"/>
    <n v="363009933312"/>
  </r>
  <r>
    <n v="17"/>
    <s v="Mastercard Incorporated"/>
    <x v="7"/>
    <n v="0.46001998"/>
    <n v="0.26600000000000001"/>
    <n v="349.02"/>
    <n v="1.288"/>
    <n v="0.18013000000000001"/>
    <n v="197.96299999999999"/>
    <n v="1.2473301000000001"/>
    <s v="MA"/>
    <n v="19.041"/>
    <n v="32.706000000000003"/>
    <n v="51.221012000000002"/>
    <n v="1.73"/>
    <n v="33.145297999999997"/>
    <n v="342932029440"/>
  </r>
  <r>
    <n v="18"/>
    <s v="Home Depot, Inc. (The)"/>
    <x v="12"/>
    <n v="0.10791001"/>
    <n v="9.8000000000000004E-2"/>
    <n v="310.68"/>
    <n v="1.1319999999999999"/>
    <n v="0.20454"/>
    <n v="4373.43"/>
    <n v="12.4031105"/>
    <s v="HD"/>
    <n v="3.1909999999999998"/>
    <n v="18.343"/>
    <n v="314.13547"/>
    <n v="1.95"/>
    <n v="19.189623000000001"/>
    <n v="324424466432"/>
  </r>
  <r>
    <n v="19"/>
    <s v="Chevron Corporation"/>
    <x v="11"/>
    <n v="0.10041000999999999"/>
    <n v="0.84599999999999997"/>
    <n v="169.31"/>
    <m/>
    <m/>
    <n v="27.315999999999999"/>
    <n v="0.116450004"/>
    <s v="CVX"/>
    <n v="1.877"/>
    <n v="8.7479999999999993"/>
    <n v="2.4022760000000001"/>
    <n v="-2.98"/>
    <n v="17.803363999999998"/>
    <n v="326377177088"/>
  </r>
  <r>
    <n v="20"/>
    <s v="Pfizer, Inc."/>
    <x v="8"/>
    <n v="0.28683999999999998"/>
    <n v="1.3440000000000001"/>
    <n v="52.78"/>
    <n v="1.385"/>
    <n v="7.7770000000000006E-2"/>
    <n v="52.496000000000002"/>
    <n v="0.27746999999999999"/>
    <s v="PFE"/>
    <n v="4.5650000000000004"/>
    <n v="11.592000000000001"/>
    <n v="3.9125277999999999"/>
    <n v="0.01"/>
    <n v="1.0677726000000001"/>
    <n v="296247263232"/>
  </r>
  <r>
    <n v="21"/>
    <s v="AbbVie Inc."/>
    <x v="8"/>
    <n v="0.20538001"/>
    <n v="7.3999999999999996E-2"/>
    <n v="161.33000000000001"/>
    <m/>
    <m/>
    <n v="594.66"/>
    <n v="0.86594002999999997"/>
    <s v="ABBV"/>
    <n v="5.8079999999999998"/>
    <n v="11.55"/>
    <n v="21.047619000000001"/>
    <n v="2.38"/>
    <n v="11.548318"/>
    <n v="285212082176"/>
  </r>
  <r>
    <n v="22"/>
    <s v="Eli Lilly and Company"/>
    <x v="8"/>
    <n v="0.21515000000000001"/>
    <n v="0.18"/>
    <n v="289.02"/>
    <n v="1.302"/>
    <n v="0.11108"/>
    <n v="215.45"/>
    <n v="0.92237000000000002"/>
    <s v="LLY"/>
    <n v="8.9550000000000001"/>
    <n v="25.742000000000001"/>
    <n v="33.7956"/>
    <n v="5.2"/>
    <n v="38.587449999999997"/>
    <n v="276474200064"/>
  </r>
  <r>
    <n v="23"/>
    <s v="Coca-Cola Company (The)"/>
    <x v="13"/>
    <n v="0.23313998999999999"/>
    <n v="0.161"/>
    <n v="61.53"/>
    <n v="1.516"/>
    <n v="7.8310000000000005E-2"/>
    <n v="172.82599999999999"/>
    <n v="0.39722002000000001"/>
    <s v="KO"/>
    <n v="7.6509999999999998"/>
    <n v="21.734999999999999"/>
    <n v="11.982472"/>
    <n v="2.72"/>
    <n v="25.320986000000001"/>
    <n v="265773907968"/>
  </r>
  <r>
    <n v="24"/>
    <s v="Broadcom Inc."/>
    <x v="5"/>
    <n v="0.24539"/>
    <n v="0.14499999999999999"/>
    <n v="628.87"/>
    <n v="2.641"/>
    <n v="7.1639999999999995E-2"/>
    <n v="161.16300000000001"/>
    <n v="0.27556000000000003"/>
    <s v="AVGO"/>
    <n v="9.65"/>
    <n v="17.989999999999998"/>
    <n v="10.404692000000001"/>
    <n v="1.38"/>
    <n v="17.444383999999999"/>
    <n v="259644063744"/>
  </r>
  <r>
    <n v="25"/>
    <s v="Walt Disney Company (The)"/>
    <x v="14"/>
    <n v="2.9590001000000001E-2"/>
    <n v="0.26"/>
    <n v="139.13999999999999"/>
    <n v="1.083"/>
    <n v="1.07700005E-2"/>
    <n v="57.043999999999997"/>
    <n v="2.5390000999999999E-2"/>
    <s v="DIS"/>
    <n v="5.03"/>
    <n v="39.414999999999999"/>
    <n v="2.8565562"/>
    <n v="1.07"/>
    <n v="27.498024000000001"/>
    <n v="252909207552"/>
  </r>
  <r>
    <n v="26"/>
    <s v="Costco Wholesale Corporation"/>
    <x v="9"/>
    <n v="2.5430000000000001E-2"/>
    <n v="0.16600000000000001"/>
    <n v="555.71"/>
    <n v="1.0149999999999999"/>
    <n v="7.6429999999999998E-2"/>
    <n v="53.237000000000002"/>
    <n v="0.30563000000000001"/>
    <s v="COST"/>
    <n v="1.105"/>
    <n v="23.838000000000001"/>
    <n v="13.346864"/>
    <n v="4.42"/>
    <n v="39.807310000000001"/>
    <n v="246419603456"/>
  </r>
  <r>
    <n v="27"/>
    <s v="Pepsico, Inc."/>
    <x v="13"/>
    <n v="0.10617"/>
    <n v="0.11600000000000001"/>
    <n v="165.24"/>
    <n v="0.94499999999999995"/>
    <n v="7.9840004000000006E-2"/>
    <n v="258.017"/>
    <n v="0.55412996000000003"/>
    <s v="PEP"/>
    <n v="3.5739999999999998"/>
    <n v="19.734999999999999"/>
    <n v="14.388714999999999"/>
    <n v="2.85"/>
    <n v="24.516321000000001"/>
    <n v="228469096448"/>
  </r>
  <r>
    <n v="28"/>
    <s v="Cisco Systems, Inc."/>
    <x v="15"/>
    <n v="0.22439999999999999"/>
    <n v="8.1000000000000003E-2"/>
    <n v="54.97"/>
    <n v="1.6180000000000001"/>
    <n v="9.196E-2"/>
    <n v="25.032"/>
    <n v="0.28190001999999997"/>
    <s v="CSCO"/>
    <n v="4.2270000000000003"/>
    <n v="13.532"/>
    <n v="5.4285994000000004"/>
    <n v="2.73"/>
    <n v="14.9375"/>
    <n v="231842021376"/>
  </r>
  <r>
    <n v="29"/>
    <s v="Thermo Fisher Scientific Inc"/>
    <x v="16"/>
    <n v="0.19700999999999999"/>
    <n v="1.4E-2"/>
    <n v="574.29"/>
    <n v="1.504"/>
    <n v="7.8009999999999996E-2"/>
    <n v="85.096999999999994"/>
    <n v="0.20476"/>
    <s v="TMO"/>
    <n v="6.2060000000000004"/>
    <n v="18.986000000000001"/>
    <n v="5.8459640000000004"/>
    <n v="2.23"/>
    <n v="26.428439999999998"/>
    <n v="226297823232"/>
  </r>
  <r>
    <n v="30"/>
    <s v="Oracle Corporation"/>
    <x v="1"/>
    <n v="0.24787999999999999"/>
    <n v="5.7000000000000002E-2"/>
    <n v="81.73"/>
    <n v="1.6459999999999999"/>
    <n v="9.1999999999999998E-2"/>
    <n v="0"/>
    <m/>
    <s v="ORCL"/>
    <n v="6.2880000000000003"/>
    <n v="14.141"/>
    <m/>
    <n v="1.91"/>
    <n v="15.538023000000001"/>
    <n v="218255884288"/>
  </r>
  <r>
    <n v="31"/>
    <s v="Accenture plc"/>
    <x v="17"/>
    <n v="0.11533"/>
    <n v="0.27200000000000002"/>
    <n v="327.71"/>
    <n v="1.2230000000000001"/>
    <n v="0.124560006"/>
    <n v="16.606999999999999"/>
    <n v="0.31947999999999999"/>
    <s v="ACN"/>
    <n v="4.1980000000000004"/>
    <n v="24.983000000000001"/>
    <n v="10.177329"/>
    <n v="3.82"/>
    <n v="31.359808000000001"/>
    <n v="207279521792"/>
  </r>
  <r>
    <n v="32"/>
    <s v="Verizon Communications Inc."/>
    <x v="18"/>
    <n v="0.16419001"/>
    <n v="4.2999999999999997E-2"/>
    <n v="51.28"/>
    <n v="0.97399999999999998"/>
    <n v="6.5229999999999996E-2"/>
    <n v="228.03800000000001"/>
    <n v="0.31167"/>
    <s v="VZ"/>
    <n v="2.9180000000000001"/>
    <n v="7.7869999999999999"/>
    <n v="2.7556560000000001"/>
    <n v="2.62"/>
    <n v="9.4962959999999992"/>
    <n v="215261134848"/>
  </r>
  <r>
    <n v="33"/>
    <s v="Salesforce.com Inc"/>
    <x v="19"/>
    <n v="6.9610000000000005E-2"/>
    <n v="0.26600000000000001"/>
    <n v="211.03"/>
    <n v="1.0609999999999999"/>
    <n v="8.2799999999999992E-3"/>
    <n v="25.131"/>
    <n v="3.5720002000000001E-2"/>
    <s v="CRM"/>
    <n v="8.3949999999999996"/>
    <n v="61.594000000000001"/>
    <n v="3.6395778999999999"/>
    <n v="5.29"/>
    <n v="44.804670000000002"/>
    <n v="207864545280"/>
  </r>
  <r>
    <n v="34"/>
    <s v="Comcast Corporation"/>
    <x v="14"/>
    <n v="0.12731000000000001"/>
    <n v="0.187"/>
    <n v="47.13"/>
    <n v="1.026"/>
    <n v="4.5589999999999999E-2"/>
    <n v="104.661"/>
    <n v="0.15312000000000001"/>
    <s v="CMCSA"/>
    <n v="2.8679999999999999"/>
    <n v="9.7720000000000002"/>
    <n v="2.2481396"/>
    <n v="0.87"/>
    <n v="12.772358000000001"/>
    <n v="215333208064"/>
  </r>
  <r>
    <n v="35"/>
    <s v="Intel Corporation"/>
    <x v="5"/>
    <n v="0.25141999999999998"/>
    <n v="2.8000000000000001E-2"/>
    <n v="51.83"/>
    <n v="2.1019999999999999"/>
    <n v="8.586001E-2"/>
    <n v="40.508000000000003"/>
    <n v="0.22522"/>
    <s v="INTC"/>
    <n v="2.5840000000000001"/>
    <n v="6.0279999999999996"/>
    <n v="2.3398495000000001"/>
    <n v="3.18"/>
    <n v="14.008108"/>
    <n v="210792628224"/>
  </r>
  <r>
    <n v="36"/>
    <s v="Abbott Laboratories"/>
    <x v="20"/>
    <n v="0.17122000000000001"/>
    <n v="0.23400000000000001"/>
    <n v="118.95"/>
    <n v="1.8260000000000001"/>
    <n v="7.7399999999999997E-2"/>
    <n v="53.112000000000002"/>
    <n v="0.21862000000000001"/>
    <s v="ABT"/>
    <n v="5.8849999999999998"/>
    <n v="20.135999999999999"/>
    <n v="6.1106543999999996"/>
    <n v="2.0299999999999998"/>
    <n v="24.989494000000001"/>
    <n v="210338103296"/>
  </r>
  <r>
    <n v="37"/>
    <s v="Nike, Inc."/>
    <x v="21"/>
    <n v="0.13322000000000001"/>
    <n v="0.01"/>
    <n v="133.69999999999999"/>
    <n v="3.0680000000000001"/>
    <n v="0.12352"/>
    <n v="85.251999999999995"/>
    <n v="0.48263"/>
    <s v="NKE"/>
    <n v="4.7359999999999998"/>
    <n v="27.472999999999999"/>
    <n v="14.176652000000001"/>
    <n v="2.89"/>
    <n v="27.738588"/>
    <n v="211623018496"/>
  </r>
  <r>
    <n v="38"/>
    <s v="Danaher Corporation"/>
    <x v="16"/>
    <n v="0.21840999999999999"/>
    <n v="0.20499999999999999"/>
    <n v="287.52999999999997"/>
    <n v="1.431"/>
    <n v="6.4070000000000002E-2"/>
    <n v="51.512999999999998"/>
    <n v="0.14942000999999999"/>
    <s v="DHR"/>
    <n v="7.202"/>
    <n v="20.521999999999998"/>
    <n v="5.1126440000000004"/>
    <n v="1.46"/>
    <n v="28.356013999999998"/>
    <n v="205462323200"/>
  </r>
  <r>
    <n v="39"/>
    <s v="Adobe Inc."/>
    <x v="1"/>
    <n v="0.30547999999999997"/>
    <n v="0.2"/>
    <n v="431.62"/>
    <n v="1.248"/>
    <n v="0.14076"/>
    <n v="31.581"/>
    <n v="0.34367999999999999"/>
    <s v="ADBE"/>
    <n v="15.907999999999999"/>
    <n v="38.164999999999999"/>
    <n v="13.8847065"/>
    <n v="2.62"/>
    <n v="26.561229999999998"/>
    <n v="205364789248"/>
  </r>
  <r>
    <n v="40"/>
    <s v="Merck &amp; Company, Inc."/>
    <x v="8"/>
    <n v="0.13680999999999999"/>
    <n v="0.20399999999999999"/>
    <n v="81.34"/>
    <n v="1.3089999999999999"/>
    <n v="0.12132999999999999"/>
    <n v="73.727999999999994"/>
    <n v="0.26035999999999998"/>
    <s v="MRK"/>
    <n v="4.0110000000000001"/>
    <n v="10.02"/>
    <n v="5.7386759999999999"/>
    <n v="0.87"/>
    <n v="11.297222"/>
    <n v="205459947520"/>
  </r>
  <r>
    <n v="42"/>
    <s v="United Parcel Service, Inc."/>
    <x v="22"/>
    <n v="6.8320000000000006E-2"/>
    <n v="9.1999999999999998E-2"/>
    <n v="215.35"/>
    <n v="1.476"/>
    <n v="7.7679999999999999E-2"/>
    <n v="212.38300000000001"/>
    <n v="0.73033994000000002"/>
    <s v="UPS"/>
    <n v="2.16"/>
    <n v="18.753"/>
    <n v="15.542004"/>
    <n v="1.07"/>
    <n v="17.797519999999999"/>
    <n v="187169734656"/>
  </r>
  <r>
    <n v="43"/>
    <s v="McDonald's Corporation"/>
    <x v="23"/>
    <n v="0.32490003000000001"/>
    <n v="0.13100000000000001"/>
    <n v="241.58"/>
    <n v="1.778"/>
    <n v="0.1159"/>
    <n v="0"/>
    <m/>
    <s v="MCD"/>
    <n v="9.1050000000000004"/>
    <n v="18.009"/>
    <m/>
    <n v="1.32"/>
    <n v="23.824456999999999"/>
    <n v="180519452672"/>
  </r>
  <r>
    <n v="44"/>
    <s v="QUALCOMM Incorporated"/>
    <x v="5"/>
    <n v="0.27714001999999999"/>
    <n v="0.3"/>
    <n v="157.97"/>
    <n v="1.6479999999999999"/>
    <n v="0.17321"/>
    <n v="138.97499999999999"/>
    <n v="1.0673900000000001"/>
    <s v="QCOM"/>
    <n v="4.8170000000000002"/>
    <n v="13.615"/>
    <n v="17.861827999999999"/>
    <n v="0.68"/>
    <n v="13.571305000000001"/>
    <n v="176926408704"/>
  </r>
  <r>
    <n v="45"/>
    <s v="Union Pacific Corporation"/>
    <x v="24"/>
    <n v="0.29915999999999998"/>
    <n v="0.115"/>
    <n v="273.38"/>
    <n v="0.61799999999999999"/>
    <n v="9.2939994999999997E-2"/>
    <n v="222.357"/>
    <n v="0.41922999999999999"/>
    <s v="UNP"/>
    <n v="8.4689999999999994"/>
    <n v="15.96"/>
    <n v="12.658239"/>
    <n v="1.52"/>
    <n v="24.022848"/>
    <n v="175749447680"/>
  </r>
  <r>
    <n v="47"/>
    <s v="Texas Instruments Incorporated"/>
    <x v="5"/>
    <n v="0.42352000000000001"/>
    <n v="0.185"/>
    <n v="184.9"/>
    <n v="5.327"/>
    <n v="0.25614999999999999"/>
    <n v="61.546999999999997"/>
    <n v="0.68996000000000002"/>
    <s v="TXN"/>
    <n v="8.4740000000000002"/>
    <n v="15.672000000000001"/>
    <n v="14.051219"/>
    <n v="2.41"/>
    <n v="22.466587000000001"/>
    <n v="170759962624"/>
  </r>
  <r>
    <n v="48"/>
    <s v="AT&amp;T Inc."/>
    <x v="18"/>
    <n v="6.6500003000000002E-3"/>
    <n v="-5.7000000000000002E-2"/>
    <n v="23.84"/>
    <n v="0.70099999999999996"/>
    <n v="3.7240000000000002E-2"/>
    <n v="115.572"/>
    <n v="1.3679999999999999E-2"/>
    <s v="T"/>
    <n v="2.2629999999999999"/>
    <n v="7.4089999999999998"/>
    <n v="1.0393687"/>
    <n v="2.17"/>
    <n v="7.4267909999999997"/>
    <n v="170241441792"/>
  </r>
  <r>
    <n v="49"/>
    <s v="Netflix, Inc."/>
    <x v="14"/>
    <n v="0.17639999000000001"/>
    <n v="0.16300000000000001"/>
    <n v="373.85"/>
    <n v="1.17"/>
    <n v="0.10012"/>
    <n v="117.578"/>
    <n v="0.39387"/>
    <s v="NFLX"/>
    <n v="9.5109999999999992"/>
    <n v="40.686999999999998"/>
    <n v="10.813039"/>
    <n v="1.29"/>
    <n v="28.559968999999999"/>
    <n v="165597609984"/>
  </r>
  <r>
    <n v="51"/>
    <s v="NextEra Energy, Inc."/>
    <x v="25"/>
    <n v="0.14399000000000001"/>
    <n v="-8.6999999999999994E-2"/>
    <n v="83.94"/>
    <n v="0.46800000000000003"/>
    <n v="1.33299995E-2"/>
    <n v="123.733"/>
    <n v="3.8730000000000001E-2"/>
    <s v="NEE"/>
    <n v="14.071"/>
    <n v="32.927"/>
    <n v="4.4940576999999999"/>
    <n v="3.6"/>
    <n v="30.635035999999999"/>
    <n v="164702044160"/>
  </r>
  <r>
    <n v="52"/>
    <s v="Linde plc"/>
    <x v="26"/>
    <n v="0.12425"/>
    <n v="0.14099999999999999"/>
    <n v="318.74"/>
    <n v="0.745"/>
    <n v="4.0579999999999998E-2"/>
    <n v="31.265000000000001"/>
    <n v="8.3260000000000001E-2"/>
    <s v="LIN"/>
    <n v="5.3090000000000002"/>
    <n v="16.106999999999999"/>
    <n v="3.6859207"/>
    <m/>
    <n v="30.885657999999999"/>
    <n v="163371778048"/>
  </r>
  <r>
    <n v="53"/>
    <s v="Bristol-Myers Squibb Company"/>
    <x v="8"/>
    <n v="0.15078"/>
    <n v="8.3000000000000004E-2"/>
    <n v="73.28"/>
    <n v="1.5209999999999999"/>
    <n v="5.3900000000000003E-2"/>
    <n v="126.634"/>
    <n v="0.18984999999999999"/>
    <s v="BMY"/>
    <n v="3.79"/>
    <n v="8.5419999999999998"/>
    <n v="4.3710113000000002"/>
    <n v="1.39"/>
    <n v="9.3469379999999997"/>
    <n v="162655223808"/>
  </r>
  <r>
    <n v="54"/>
    <s v="T-Mobile US, Inc."/>
    <x v="18"/>
    <n v="3.7740000000000003E-2"/>
    <n v="2.1999999999999999E-2"/>
    <n v="124.29"/>
    <n v="0.88900000000000001"/>
    <n v="3.0710000000000001E-2"/>
    <n v="157.47300000000001"/>
    <n v="4.4979999999999999E-2"/>
    <s v="TMUS"/>
    <n v="3.1970000000000001"/>
    <n v="9.7110000000000003"/>
    <n v="2.2687279999999999"/>
    <n v="1.1499999999999999"/>
    <n v="38.361109999999996"/>
    <n v="155244429312"/>
  </r>
  <r>
    <n v="55"/>
    <s v="Raytheon Technologies Corporati"/>
    <x v="27"/>
    <n v="5.1960002999999998E-2"/>
    <n v="9.9000000000000005E-2"/>
    <n v="102.43"/>
    <n v="1.23"/>
    <n v="2.5080000000000002E-2"/>
    <n v="44.935000000000002"/>
    <n v="5.0169999999999999E-2"/>
    <s v="RTX"/>
    <n v="2.5379999999999998"/>
    <n v="14.698"/>
    <n v="2.1516647"/>
    <n v="0.94"/>
    <n v="20.527056000000002"/>
    <n v="153315180544"/>
  </r>
  <r>
    <n v="56"/>
    <s v="Lowe's Companies, Inc."/>
    <x v="12"/>
    <n v="8.6249999999999993E-2"/>
    <n v="2.7E-2"/>
    <n v="212.92"/>
    <n v="1.1930000000000001"/>
    <n v="0.16220999999999999"/>
    <n v="0"/>
    <n v="6.57829"/>
    <s v="LOW"/>
    <n v="2.093"/>
    <n v="13.427"/>
    <m/>
    <n v="1.3"/>
    <n v="16.505426"/>
    <n v="143454208000"/>
  </r>
  <r>
    <n v="57"/>
    <s v="Advanced Micro Devices, Inc."/>
    <x v="5"/>
    <n v="0.19240999"/>
    <n v="0.48799999999999999"/>
    <n v="119.67"/>
    <n v="2.024"/>
    <n v="0.21326999999999999"/>
    <n v="9.7639999999999993"/>
    <n v="0.47427999999999998"/>
    <s v="AMD"/>
    <n v="8.0850000000000009"/>
    <n v="32.765000000000001"/>
    <n v="20.324389"/>
    <n v="1.55"/>
    <n v="35.829340000000002"/>
    <n v="144514678784"/>
  </r>
  <r>
    <n v="58"/>
    <s v="Philip Morris International Inc"/>
    <x v="28"/>
    <n v="0.29247000000000001"/>
    <n v="9.0999999999999998E-2"/>
    <n v="93.45"/>
    <n v="0.998"/>
    <n v="0.2024"/>
    <n v="0"/>
    <m/>
    <s v="PM"/>
    <n v="5.7409999999999997"/>
    <n v="12.554"/>
    <m/>
    <n v="1.44"/>
    <n v="14.533436999999999"/>
    <n v="145485758464"/>
  </r>
  <r>
    <n v="60"/>
    <s v="Medtronic plc."/>
    <x v="20"/>
    <n v="0.14793000000000001"/>
    <n v="2.5999999999999999E-2"/>
    <n v="108.46"/>
    <n v="2.9129999999999998"/>
    <n v="4.5879996999999999E-2"/>
    <n v="49.125"/>
    <n v="9.2329999999999995E-2"/>
    <s v="MDT"/>
    <n v="4.9580000000000002"/>
    <n v="16.428000000000001"/>
    <n v="2.8055563000000001"/>
    <n v="1.63"/>
    <n v="17.607143000000001"/>
    <n v="145830969344"/>
  </r>
  <r>
    <n v="61"/>
    <s v="CVS Health Corporation"/>
    <x v="6"/>
    <n v="2.6679999999999999E-2"/>
    <n v="0.1"/>
    <n v="108.56"/>
    <n v="0.94"/>
    <n v="3.551E-2"/>
    <n v="105.414"/>
    <n v="0.10556"/>
    <s v="CVS"/>
    <n v="0.71799999999999997"/>
    <n v="11.439"/>
    <n v="1.9299213"/>
    <n v="2.27"/>
    <n v="13.126963999999999"/>
    <n v="143305719808"/>
  </r>
  <r>
    <n v="62"/>
    <s v="S&amp;P Global Inc."/>
    <x v="29"/>
    <n v="0.36446998000000003"/>
    <n v="0.11799999999999999"/>
    <n v="413.47"/>
    <n v="2.3090000000000002"/>
    <n v="0.20552999"/>
    <n v="89.811999999999998"/>
    <n v="0.73424999999999996"/>
    <s v="SPGI"/>
    <n v="11.443"/>
    <n v="20.158000000000001"/>
    <n v="54.006010000000003"/>
    <n v="3.61"/>
    <n v="28.261790999999999"/>
    <n v="99646267392"/>
  </r>
  <r>
    <n v="63"/>
    <s v="ConocoPhillips"/>
    <x v="30"/>
    <n v="0.17315"/>
    <n v="1.7709999999999999"/>
    <n v="107.5"/>
    <n v="1.335"/>
    <n v="0.10439"/>
    <n v="45.371000000000002"/>
    <n v="0.21471001000000001"/>
    <s v="COP"/>
    <n v="2.7440000000000002"/>
    <n v="6.3949999999999996"/>
    <n v="3.2140403000000002"/>
    <n v="-7.27"/>
    <n v="13.782050999999999"/>
    <n v="141787119616"/>
  </r>
  <r>
    <n v="64"/>
    <s v="PayPal Holdings, Inc."/>
    <x v="7"/>
    <n v="0.20086001000000001"/>
    <n v="0.13200000000000001"/>
    <n v="113.76"/>
    <n v="1.298"/>
    <n v="3.8110003000000003E-2"/>
    <n v="43.902000000000001"/>
    <n v="0.24299999"/>
    <s v="PYPL"/>
    <n v="8.9939999999999998"/>
    <n v="42.578000000000003"/>
    <n v="6.0459185"/>
    <n v="2.02"/>
    <n v="21.586338000000001"/>
    <n v="133660041216"/>
  </r>
  <r>
    <n v="65"/>
    <s v="Honeywell International Inc."/>
    <x v="31"/>
    <n v="0.15801999999999999"/>
    <n v="8.6999999999999994E-2"/>
    <n v="197.79"/>
    <n v="1.288"/>
    <n v="7.3860005000000006E-2"/>
    <n v="122.846"/>
    <n v="0.30443999999999999"/>
    <s v="HON"/>
    <n v="4.4550000000000001"/>
    <n v="17.672999999999998"/>
    <n v="7.6316699999999997"/>
    <n v="2.27"/>
    <n v="22.025614000000001"/>
    <n v="136163172352"/>
  </r>
  <r>
    <n v="66"/>
    <s v="Amgen Inc."/>
    <x v="8"/>
    <n v="0.21767998999999999"/>
    <n v="4.3999999999999997E-2"/>
    <n v="238.79"/>
    <n v="1.643"/>
    <n v="8.6959999999999996E-2"/>
    <n v="457.33199999999999"/>
    <n v="0.58499999999999996"/>
    <s v="AMGN"/>
    <n v="6.0679999999999996"/>
    <n v="12.738"/>
    <n v="16.419581999999998"/>
    <n v="2.2799999999999998"/>
    <n v="13.303063"/>
    <n v="134502277120"/>
  </r>
  <r>
    <n v="67"/>
    <s v="Deere &amp; Company"/>
    <x v="32"/>
    <n v="0.13566"/>
    <n v="0.16"/>
    <n v="436.45"/>
    <n v="2.1920000000000002"/>
    <n v="6.3549999999999995E-2"/>
    <n v="264.86399999999998"/>
    <n v="0.38019999999999998"/>
    <s v="DE"/>
    <n v="3.673"/>
    <n v="17.86"/>
    <n v="7.2950796999999996"/>
    <n v="1.34"/>
    <n v="17.374600999999998"/>
    <n v="134167789568"/>
  </r>
  <r>
    <n v="68"/>
    <s v="Intuit Inc."/>
    <x v="19"/>
    <n v="0.20277001"/>
    <n v="0.51700000000000002"/>
    <n v="459.35"/>
    <n v="2.0990000000000002"/>
    <n v="0.12801999999999999"/>
    <n v="25.757999999999999"/>
    <n v="0.27933999999999998"/>
    <s v="INTU"/>
    <n v="16.899000000000001"/>
    <n v="60.326999999999998"/>
    <n v="12.894759000000001"/>
    <n v="3.04"/>
    <n v="33.676684999999999"/>
    <n v="130072764416"/>
  </r>
  <r>
    <n v="69"/>
    <s v="Applied Materials, Inc."/>
    <x v="33"/>
    <n v="0.25530002000000002"/>
    <n v="0.30599999999999999"/>
    <n v="137.06"/>
    <n v="2.5390000000000001"/>
    <n v="0.18829000000000001"/>
    <n v="46.975000000000001"/>
    <n v="0.51593"/>
    <s v="AMAT"/>
    <n v="5.9359999999999999"/>
    <n v="17.891999999999999"/>
    <n v="9.9825199999999992"/>
    <n v="1.17"/>
    <n v="15.487004000000001"/>
    <n v="121779593216"/>
  </r>
  <r>
    <n v="70"/>
    <s v="Anthem, Inc."/>
    <x v="6"/>
    <n v="4.1220001999999999E-2"/>
    <n v="0.15"/>
    <n v="480.76"/>
    <n v="1.476"/>
    <n v="5.3710000000000001E-2"/>
    <n v="66.275999999999996"/>
    <n v="0.15834999999999999"/>
    <s v="ANTM"/>
    <n v="0.755"/>
    <n v="11.545"/>
    <n v="3.2669646999999999"/>
    <n v="1.31"/>
    <n v="16.780455"/>
    <n v="116687667200"/>
  </r>
  <r>
    <n v="71"/>
    <s v="Lockheed Martin Corporation"/>
    <x v="27"/>
    <n v="9.4189993999999999E-2"/>
    <n v="4.1000000000000002E-2"/>
    <n v="453.66"/>
    <n v="1.4159999999999999"/>
    <n v="9.6240000000000006E-2"/>
    <n v="119.55500000000001"/>
    <n v="0.74307000000000001"/>
    <s v="LMT"/>
    <n v="2.0350000000000001"/>
    <n v="15.144"/>
    <n v="12.906401000000001"/>
    <n v="3.22"/>
    <n v="17.262556"/>
    <n v="125113073664"/>
  </r>
  <r>
    <n v="72"/>
    <s v="Caterpillar, Inc."/>
    <x v="32"/>
    <n v="0.12731000000000001"/>
    <n v="0.22800000000000001"/>
    <n v="223.36"/>
    <n v="1.456"/>
    <n v="5.3359999999999998E-2"/>
    <n v="228.80199999999999"/>
    <n v="0.40715997999999998"/>
    <s v="CAT"/>
    <n v="2.7130000000000001"/>
    <n v="14.98"/>
    <n v="7.2503004000000004"/>
    <n v="0.65"/>
    <n v="20.491743"/>
    <n v="120824807424"/>
  </r>
  <r>
    <n v="73"/>
    <s v="International Business Machines"/>
    <x v="17"/>
    <n v="6.4009999999999997E-2"/>
    <n v="3.0000000000000001E-3"/>
    <n v="131.35"/>
    <n v="0.83599999999999997"/>
    <n v="3.739E-2"/>
    <n v="263.80099999999999"/>
    <n v="0.21405001000000001"/>
    <s v="IBM"/>
    <n v="2.3479999999999999"/>
    <n v="11.164999999999999"/>
    <n v="5.2993629999999996"/>
    <n v="2.0699999999999998"/>
    <n v="12.752427000000001"/>
    <n v="117731639296"/>
  </r>
  <r>
    <n v="74"/>
    <s v="ServiceNow, Inc."/>
    <x v="19"/>
    <n v="3.986E-2"/>
    <n v="0.312"/>
    <n v="561.87"/>
    <n v="1.131"/>
    <n v="1.745E-2"/>
    <n v="63.015999999999998"/>
    <n v="7.1040004000000004E-2"/>
    <s v="NOW"/>
    <n v="21.577000000000002"/>
    <n v="175.75"/>
    <n v="31.638603"/>
    <n v="3.88"/>
    <n v="77.821335000000005"/>
    <n v="111812132864"/>
  </r>
  <r>
    <n v="75"/>
    <s v="Prologis, Inc."/>
    <x v="34"/>
    <n v="0.40217999999999998"/>
    <n v="0.10199999999999999"/>
    <n v="157.33000000000001"/>
    <n v="0.84799999999999998"/>
    <n v="1.9779999999999999E-2"/>
    <n v="47.759"/>
    <n v="5.8860000000000003E-2"/>
    <s v="PLD"/>
    <n v="28.603000000000002"/>
    <n v="41.475999999999999"/>
    <n v="3.5853785999999999"/>
    <n v="-11.62"/>
    <n v="68.108230000000006"/>
    <n v="116318314496"/>
  </r>
  <r>
    <n v="77"/>
    <s v="BlackRock, Inc."/>
    <x v="35"/>
    <n v="0.30972"/>
    <n v="0.156"/>
    <n v="741.04"/>
    <n v="1.427"/>
    <n v="2.7269999999999999E-2"/>
    <n v="21.949000000000002"/>
    <n v="0.16974"/>
    <s v="BLK"/>
    <n v="7.5830000000000002"/>
    <n v="18.433"/>
    <n v="3.0591655000000002"/>
    <n v="1.8"/>
    <n v="17.539408000000002"/>
    <n v="112576561152"/>
  </r>
  <r>
    <n v="79"/>
    <s v="Boeing Company (The)"/>
    <x v="27"/>
    <n v="-6.7460000000000006E-2"/>
    <n v="-3.3000000000000002E-2"/>
    <n v="188.95"/>
    <n v="1.325"/>
    <n v="-2.1700000000000001E-3"/>
    <n v="0"/>
    <m/>
    <s v="BA"/>
    <n v="2.6829999999999998"/>
    <n v="101.952"/>
    <m/>
    <n v="-5.13"/>
    <n v="39.695377000000001"/>
    <n v="111045722112"/>
  </r>
  <r>
    <n v="80"/>
    <s v="American Tower Corporation (REI"/>
    <x v="36"/>
    <n v="0.27445000000000003"/>
    <n v="0.219"/>
    <n v="240.69"/>
    <n v="0.77300000000000002"/>
    <n v="4.3479999999999998E-2"/>
    <n v="434.983"/>
    <n v="0.34477999999999998"/>
    <s v="AMT"/>
    <n v="19.03"/>
    <n v="30.07"/>
    <n v="20.256691"/>
    <n v="2.96"/>
    <n v="44.082417"/>
    <n v="109613596672"/>
  </r>
  <r>
    <n v="81"/>
    <s v="Charter Communications, Inc."/>
    <x v="14"/>
    <n v="8.3960000000000007E-2"/>
    <n v="9.1999999999999998E-2"/>
    <n v="558.26"/>
    <n v="0.28599999999999998"/>
    <n v="4.6019999999999998E-2"/>
    <n v="417.43"/>
    <n v="0.17694001000000001"/>
    <s v="CHTR"/>
    <n v="4.03"/>
    <n v="10.281000000000001"/>
    <n v="5.8773489999999997"/>
    <n v="0.77"/>
    <n v="17.852893999999999"/>
    <n v="100091002880"/>
  </r>
  <r>
    <n v="82"/>
    <s v="General Electric Company"/>
    <x v="37"/>
    <n v="-5.1999999999999995E-4"/>
    <n v="-5.0000000000000001E-3"/>
    <n v="94.02"/>
    <n v="1.796"/>
    <n v="4.5100000000000001E-3"/>
    <n v="169.12299999999999"/>
    <n v="4.8779997999999998E-2"/>
    <s v="GE"/>
    <n v="1.98"/>
    <n v="21.542000000000002"/>
    <n v="2.7554069000000001"/>
    <n v="6.96"/>
    <n v="23.68262"/>
    <n v="103247118336"/>
  </r>
  <r>
    <n v="83"/>
    <s v="Intuitive Surgical, Inc."/>
    <x v="38"/>
    <n v="0.29852000000000001"/>
    <n v="0.16700000000000001"/>
    <n v="286.87"/>
    <n v="5.0830000000000002"/>
    <n v="9.2069999999999999E-2"/>
    <n v="0.72799999999999998"/>
    <n v="0.15919"/>
    <s v="ISRG"/>
    <n v="17.62"/>
    <n v="47.271999999999998"/>
    <n v="8.9801219999999997"/>
    <n v="4.1500000000000004"/>
    <n v="51.502690000000001"/>
    <n v="102480576512"/>
  </r>
  <r>
    <n v="84"/>
    <s v="Target Corporation"/>
    <x v="9"/>
    <n v="6.5619999999999998E-2"/>
    <n v="0.13300000000000001"/>
    <n v="218.61"/>
    <n v="0.96699999999999997"/>
    <n v="0.10204001"/>
    <n v="112.28700000000001"/>
    <n v="0.50011002999999998"/>
    <s v="TGT"/>
    <n v="0.98199999999999998"/>
    <n v="9.0909999999999993"/>
    <n v="7.6165422999999999"/>
    <n v="1.19"/>
    <n v="16.338566"/>
    <n v="104741298176"/>
  </r>
  <r>
    <n v="85"/>
    <s v="Starbucks Corporation"/>
    <x v="23"/>
    <n v="0.14468998999999999"/>
    <n v="0.193"/>
    <n v="87.45"/>
    <n v="0.81299999999999994"/>
    <n v="0.104770005"/>
    <n v="0"/>
    <m/>
    <s v="SBUX"/>
    <n v="4.0599999999999996"/>
    <n v="19.108000000000001"/>
    <m/>
    <m/>
    <m/>
    <m/>
  </r>
  <r>
    <n v="86"/>
    <s v="Estee Lauder Companies, Inc. (T"/>
    <x v="10"/>
    <n v="0.17829001"/>
    <n v="0.23300000000000001"/>
    <n v="274.89"/>
    <n v="1.7829999999999999"/>
    <n v="0.10375"/>
    <n v="114.934"/>
    <n v="0.53242999999999996"/>
    <s v="EL"/>
    <n v="8.1379999999999999"/>
    <n v="35.073999999999998"/>
    <n v="16.303305000000002"/>
    <n v="3.39"/>
    <n v="32.226260000000003"/>
    <n v="98945835008"/>
  </r>
  <r>
    <n v="87"/>
    <s v="Stryker Corporation"/>
    <x v="20"/>
    <n v="0.113979995"/>
    <n v="0.113"/>
    <n v="266"/>
    <n v="2.1259999999999999"/>
    <n v="6.8849999999999995E-2"/>
    <n v="92.093000000000004"/>
    <n v="0.13988999999999999"/>
    <s v="SYK"/>
    <n v="6.9109999999999996"/>
    <n v="24.861000000000001"/>
    <n v="7.0774800000000004"/>
    <n v="2.29"/>
    <n v="26.155360000000002"/>
    <n v="100345839616"/>
  </r>
  <r>
    <n v="88"/>
    <s v="Altria Group, Inc."/>
    <x v="28"/>
    <n v="0.13164000000000001"/>
    <n v="-2.5999999999999999E-2"/>
    <n v="53.62"/>
    <n v="0.74199999999999999"/>
    <n v="0.17232001"/>
    <n v="0"/>
    <n v="2.7119799000000002"/>
    <s v="MO"/>
    <n v="5.593"/>
    <n v="9.7119999999999997"/>
    <m/>
    <n v="2.06"/>
    <n v="11.101449000000001"/>
    <n v="98499395584"/>
  </r>
  <r>
    <n v="89"/>
    <s v="Booking Holdings Inc. Common St"/>
    <x v="39"/>
    <n v="4.1450000000000001E-2"/>
    <n v="0.77100000000000002"/>
    <n v="2247.9299999999998"/>
    <n v="2.4830000000000001"/>
    <n v="4.3749999999999997E-2"/>
    <n v="208.00700000000001"/>
    <n v="7.3050000000000004E-2"/>
    <s v="BKNG"/>
    <n v="10.916"/>
    <n v="49.575000000000003"/>
    <n v="16.647017000000002"/>
    <n v="0.27"/>
    <n v="22.394200999999999"/>
    <n v="92299550720"/>
  </r>
  <r>
    <n v="90"/>
    <s v="Automatic Data Processing, Inc."/>
    <x v="40"/>
    <n v="0.17480000000000001"/>
    <n v="8.8999999999999996E-2"/>
    <n v="219.04"/>
    <n v="1.0409999999999999"/>
    <n v="4.1329999999999999E-2"/>
    <n v="68.328000000000003"/>
    <n v="0.50117"/>
    <s v="ADP"/>
    <n v="5.6710000000000003"/>
    <n v="21.742000000000001"/>
    <n v="17.27581"/>
    <n v="2.58"/>
    <n v="29.322624000000001"/>
    <n v="92299952128"/>
  </r>
  <r>
    <n v="91"/>
    <s v="Chubb Limited"/>
    <x v="41"/>
    <n v="0.21836"/>
    <n v="0.14000000000000001"/>
    <n v="217.78"/>
    <n v="0.34200000000000003"/>
    <n v="2.5390000999999999E-2"/>
    <n v="32.665999999999997"/>
    <n v="0.15235000000000001"/>
    <s v="CB"/>
    <n v="2.5670000000000002"/>
    <n v="12.718999999999999"/>
    <n v="1.5819217000000001"/>
    <n v="0.52"/>
    <n v="15.0712805"/>
    <n v="93806772224"/>
  </r>
  <r>
    <n v="92"/>
    <s v="Zoetis Inc."/>
    <x v="42"/>
    <n v="0.26196000000000003"/>
    <n v="8.8999999999999996E-2"/>
    <n v="189.43"/>
    <n v="3.8559999999999999"/>
    <n v="0.12773000000000001"/>
    <n v="149.47200000000001"/>
    <n v="0.48911998000000001"/>
    <s v="ZTS"/>
    <n v="12.371"/>
    <n v="29.995999999999999"/>
    <n v="19.165317999999999"/>
    <n v="3.84"/>
    <n v="36.499034999999999"/>
    <n v="89624256512"/>
  </r>
  <r>
    <n v="93"/>
    <s v="CME Group Inc."/>
    <x v="29"/>
    <n v="0.52595999999999998"/>
    <n v="2.8000000000000001E-2"/>
    <n v="247.72"/>
    <n v="1.008"/>
    <n v="1.026E-2"/>
    <n v="14.81"/>
    <n v="8.9750010000000005E-2"/>
    <s v="CME"/>
    <n v="18.053999999999998"/>
    <n v="28.088999999999999"/>
    <n v="3.2558750000000001"/>
    <n v="6.61"/>
    <n v="33.795360000000002"/>
    <n v="89030320128"/>
  </r>
  <r>
    <n v="94"/>
    <s v="Micron Technology, Inc."/>
    <x v="5"/>
    <n v="0.24861999000000001"/>
    <n v="0.33200000000000002"/>
    <n v="78.099999999999994"/>
    <n v="3.101"/>
    <n v="9.3430004999999997E-2"/>
    <n v="16.561"/>
    <n v="0.17163"/>
    <s v="MU"/>
    <n v="2.7949999999999999"/>
    <n v="5.5229999999999997"/>
    <n v="1.9036708"/>
    <n v="0.45"/>
    <n v="6.7854036999999998"/>
    <n v="87485276160"/>
  </r>
  <r>
    <n v="95"/>
    <s v="Analog Devices, Inc."/>
    <x v="5"/>
    <n v="0.18998999999999999"/>
    <n v="0.53300000000000003"/>
    <n v="165.63"/>
    <n v="1.9410000000000001"/>
    <n v="3.0040000000000001E-2"/>
    <n v="18.736000000000001"/>
    <n v="5.5630001999999998E-2"/>
    <s v="ADI"/>
    <n v="12.89"/>
    <n v="33.122"/>
    <n v="2.2902062000000001"/>
    <n v="1.57"/>
    <n v="19.462983999999999"/>
    <n v="87010574336"/>
  </r>
  <r>
    <n v="96"/>
    <s v="Mondelez International, Inc."/>
    <x v="43"/>
    <n v="0.15701999999999999"/>
    <n v="7.8E-2"/>
    <n v="61.52"/>
    <n v="0.73299999999999998"/>
    <n v="4.7280002000000002E-2"/>
    <n v="73.834000000000003"/>
    <n v="0.16311999999999999"/>
    <s v="MDLZ"/>
    <n v="3.8730000000000002"/>
    <n v="17.739000000000001"/>
    <n v="3.0981516999999998"/>
    <n v="2.62"/>
    <n v="19.845161000000001"/>
    <n v="85818556416"/>
  </r>
  <r>
    <n v="97"/>
    <s v="3M Company"/>
    <x v="31"/>
    <n v="0.16764000000000001"/>
    <n v="7.0999999999999994E-2"/>
    <n v="150.46"/>
    <n v="1.7050000000000001"/>
    <n v="0.10945000000000001"/>
    <n v="130.81200000000001"/>
    <n v="0.44799998000000002"/>
    <s v="MMM"/>
    <n v="3.3180000000000001"/>
    <n v="11.595000000000001"/>
    <n v="5.9960947000000004"/>
    <n v="2.37"/>
    <n v="14.509162"/>
    <n v="86703030272"/>
  </r>
  <r>
    <n v="99"/>
    <s v="Duke Energy Corporation (Holdin"/>
    <x v="25"/>
    <n v="0.12795000000000001"/>
    <n v="3.4000000000000002E-2"/>
    <n v="109.13"/>
    <n v="0.60699999999999998"/>
    <n v="2.2190000000000001E-2"/>
    <n v="128.98099999999999"/>
    <n v="5.5980000000000002E-2"/>
    <s v="DUK"/>
    <n v="6.1509999999999998"/>
    <n v="13.042999999999999"/>
    <n v="1.7725405000000001"/>
    <n v="7.89"/>
    <n v="19.95064"/>
    <n v="83958398976"/>
  </r>
  <r>
    <n v="100"/>
    <s v="Marsh &amp; McLennan Companies, Inc"/>
    <x v="44"/>
    <n v="0.15858"/>
    <n v="0.16300000000000001"/>
    <n v="166.11"/>
    <n v="1.242"/>
    <n v="8.8080000000000006E-2"/>
    <n v="117.28700000000001"/>
    <n v="0.30992999999999998"/>
    <s v="MMC"/>
    <n v="4.4370000000000003"/>
    <n v="15.993"/>
    <n v="8.6259549999999994"/>
    <n v="2.11"/>
    <n v="24.682020000000001"/>
    <n v="83868106752"/>
  </r>
  <r>
    <n v="102"/>
    <s v="CSX Corporation"/>
    <x v="24"/>
    <n v="0.30259999999999998"/>
    <n v="0.24299999999999999"/>
    <n v="36.92"/>
    <n v="1.718"/>
    <n v="8.0369994E-2"/>
    <n v="128.113"/>
    <n v="0.27854002"/>
    <s v="CSX"/>
    <n v="8.1999999999999993"/>
    <n v="14.984999999999999"/>
    <n v="6.2207239999999997"/>
    <n v="1.38"/>
    <n v="20.741571"/>
    <n v="81887813632"/>
  </r>
  <r>
    <n v="103"/>
    <s v="HCA Healthcare, Inc."/>
    <x v="45"/>
    <n v="0.11328000000000001"/>
    <n v="0.14799999999999999"/>
    <n v="260.08"/>
    <n v="1.377"/>
    <n v="0.12033000000000001"/>
    <n v="1866.3009999999999"/>
    <n v="4.7439200000000001"/>
    <s v="HCA"/>
    <n v="2.0070000000000001"/>
    <n v="9.3339999999999996"/>
    <m/>
    <n v="0.93"/>
    <n v="13.90802"/>
    <n v="80890863616"/>
  </r>
  <r>
    <n v="105"/>
    <s v="Lam Research Corporation"/>
    <x v="33"/>
    <n v="0.27072000000000002"/>
    <n v="0.35499999999999998"/>
    <n v="554.82000000000005"/>
    <n v="3.2690000000000001"/>
    <n v="0.19974001"/>
    <n v="85.83"/>
    <n v="0.75890000000000002"/>
    <s v="LRCX"/>
    <n v="6.3879999999999999"/>
    <n v="19.324999999999999"/>
    <n v="13.423496999999999"/>
    <n v="1.28"/>
    <n v="15.138335"/>
    <n v="78118109184"/>
  </r>
  <r>
    <n v="106"/>
    <s v="Cigna Corporation"/>
    <x v="6"/>
    <n v="4.9200002E-2"/>
    <n v="8.2000000000000003E-2"/>
    <n v="243.58"/>
    <n v="0.7"/>
    <n v="3.2849999999999997E-2"/>
    <n v="73.536000000000001"/>
    <n v="0.17627001"/>
    <s v="CI"/>
    <n v="0.624"/>
    <n v="10.478"/>
    <n v="1.7024637"/>
    <n v="1.04"/>
    <n v="10.845058"/>
    <n v="80729235456"/>
  </r>
  <r>
    <n v="107"/>
    <s v="Intercontinental Exchange Inc."/>
    <x v="29"/>
    <n v="0.43814999999999998"/>
    <n v="0.27700000000000002"/>
    <n v="135.26"/>
    <n v="1.006"/>
    <n v="1.5299999999999999E-2"/>
    <n v="66.88"/>
    <n v="0.15029999999999999"/>
    <s v="ICE"/>
    <n v="12.733000000000001"/>
    <n v="20.966999999999999"/>
    <n v="3.5259767000000002"/>
    <n v="2.2999999999999998"/>
    <n v="24.371169999999999"/>
    <n v="76206022656"/>
  </r>
  <r>
    <n v="108"/>
    <s v="Crown Castle International Corp"/>
    <x v="36"/>
    <n v="0.17287000999999999"/>
    <n v="0.108"/>
    <n v="177.58"/>
    <n v="0.61899999999999999"/>
    <n v="3.2500000000000001E-2"/>
    <n v="327.065"/>
    <n v="0.13070999999999999"/>
    <s v="CCI"/>
    <n v="16.202000000000002"/>
    <n v="28.43"/>
    <n v="9.0123829999999998"/>
    <n v="4.34"/>
    <n v="53.649548000000003"/>
    <n v="76750610432"/>
  </r>
  <r>
    <n v="109"/>
    <s v="Becton, Dickinson and Company"/>
    <x v="38"/>
    <n v="0.103319995"/>
    <n v="7.2999999999999995E-2"/>
    <n v="265.67"/>
    <n v="1.3340000000000001"/>
    <n v="3.9039999999999998E-2"/>
    <n v="76.361000000000004"/>
    <n v="8.8190004000000002E-2"/>
    <s v="BDX"/>
    <n v="4.4790000000000001"/>
    <n v="16.073"/>
    <n v="3.1922666999999998"/>
    <n v="2.23"/>
    <n v="19.420321999999999"/>
    <n v="75727380480"/>
  </r>
  <r>
    <n v="110"/>
    <s v="Freeport-McMoRan, Inc."/>
    <x v="46"/>
    <n v="0.18848999999999999"/>
    <n v="0.371"/>
    <n v="51.93"/>
    <n v="2.5169999999999999"/>
    <n v="0.11497"/>
    <n v="42.439"/>
    <n v="0.25739000000000001"/>
    <s v="FCX"/>
    <n v="3.4550000000000001"/>
    <n v="7.5119999999999996"/>
    <n v="5.7091029999999998"/>
    <n v="0.48"/>
    <n v="14.628169"/>
    <n v="76257648640"/>
  </r>
  <r>
    <n v="111"/>
    <s v="Gilead Sciences, Inc."/>
    <x v="8"/>
    <n v="0.26905000000000001"/>
    <n v="0.128"/>
    <n v="58.91"/>
    <n v="1.3660000000000001"/>
    <n v="0.12683"/>
    <n v="128.946"/>
    <n v="0.37846002000000001"/>
    <s v="GILD"/>
    <n v="4.0629999999999997"/>
    <n v="7.48"/>
    <n v="3.4434182999999998"/>
    <n v="6.77"/>
    <n v="8.6632350000000002"/>
    <n v="73895526400"/>
  </r>
  <r>
    <n v="112"/>
    <s v="Southern Company (The)"/>
    <x v="25"/>
    <n v="0.10353"/>
    <n v="0.127"/>
    <n v="70.930000000000007"/>
    <n v="0.82099999999999995"/>
    <n v="2.0380002000000001E-2"/>
    <n v="170.41499999999999"/>
    <n v="7.0480000000000001E-2"/>
    <s v="SO"/>
    <n v="5.6260000000000003"/>
    <n v="16.143000000000001"/>
    <n v="2.6202437999999999"/>
    <n v="3.18"/>
    <n v="20.036724"/>
    <n v="75171610624"/>
  </r>
  <r>
    <n v="113"/>
    <s v="Moderna, Inc."/>
    <x v="47"/>
    <n v="0.5968"/>
    <n v="30.65"/>
    <n v="165.92"/>
    <n v="1.3480000000000001"/>
    <n v="0.372"/>
    <n v="5.758"/>
    <n v="1.09609"/>
    <s v="MRNA"/>
    <n v="7.2830000000000004"/>
    <n v="11.087"/>
    <n v="6.6373309999999996"/>
    <n v="0.54"/>
    <n v="6.2682279999999997"/>
    <n v="67272261632"/>
  </r>
  <r>
    <n v="114"/>
    <s v="Regeneron Pharmaceuticals, Inc."/>
    <x v="47"/>
    <n v="0.50244999999999995"/>
    <n v="1.044"/>
    <n v="680.03"/>
    <n v="3.5640000000000001"/>
    <n v="0.26252999999999999"/>
    <n v="14.384"/>
    <n v="0.54207002999999998"/>
    <s v="REGN"/>
    <n v="3.9220000000000002"/>
    <n v="6.8280000000000003"/>
    <n v="4.1586455999999998"/>
    <n v="0.67"/>
    <n v="14.223594"/>
    <n v="73132466176"/>
  </r>
  <r>
    <n v="115"/>
    <s v="TJX Companies, Inc. (The)"/>
    <x v="48"/>
    <n v="5.8459999999999998E-2"/>
    <n v="0.23899999999999999"/>
    <n v="61.29"/>
    <n v="1.2869999999999999"/>
    <n v="7.8009999999999996E-2"/>
    <n v="198.94200000000001"/>
    <n v="0.44425999999999999"/>
    <s v="TJX"/>
    <n v="2.137"/>
    <n v="20.727"/>
    <n v="11.358414"/>
    <n v="0.19"/>
    <n v="18.295522999999999"/>
    <n v="73111617536"/>
  </r>
  <r>
    <n v="116"/>
    <s v="Norfolk Southern Corporation"/>
    <x v="24"/>
    <n v="0.26843"/>
    <n v="0.13800000000000001"/>
    <n v="283.36"/>
    <n v="1.129"/>
    <n v="7.1650000000000005E-2"/>
    <n v="103.449"/>
    <n v="0.20230000000000001"/>
    <s v="NSC"/>
    <n v="7.8330000000000002"/>
    <n v="15.273"/>
    <n v="4.9653910000000003"/>
    <n v="1.39"/>
    <n v="20.622997000000002"/>
    <n v="68954234880"/>
  </r>
  <r>
    <n v="117"/>
    <s v="Northrop Grumman Corporation"/>
    <x v="27"/>
    <n v="0.19639999"/>
    <n v="-0.154"/>
    <n v="458.18"/>
    <n v="1.304"/>
    <n v="0.10762998999999999"/>
    <n v="113.392"/>
    <n v="0.59604000000000001"/>
    <s v="NOC"/>
    <n v="2.4039999999999999"/>
    <n v="9.8160000000000007"/>
    <n v="6.3713093000000001"/>
    <n v="2.48"/>
    <n v="18.268740000000001"/>
    <n v="72089124864"/>
  </r>
  <r>
    <n v="118"/>
    <s v="EOG Resources, Inc."/>
    <x v="30"/>
    <n v="0.18018000000000001"/>
    <n v="1.2649999999999999"/>
    <n v="124.51"/>
    <n v="2.109"/>
    <n v="6.9769999999999999E-2"/>
    <n v="24.658999999999999"/>
    <n v="0.14394000000000001"/>
    <s v="EOG"/>
    <n v="3.3969999999999998"/>
    <n v="7.1559999999999997"/>
    <n v="3.3465033000000002"/>
    <n v="0.15"/>
    <n v="12.602226999999999"/>
    <n v="72849555456"/>
  </r>
  <r>
    <n v="119"/>
    <s v="Aon plc"/>
    <x v="44"/>
    <n v="7.5840004000000003E-2"/>
    <n v="0.13300000000000001"/>
    <n v="322.94"/>
    <n v="1.07"/>
    <n v="3.9059999999999997E-2"/>
    <n v="412.57100000000003"/>
    <n v="0.32707999999999998"/>
    <s v="AON"/>
    <n v="6.08"/>
    <n v="31.815000000000001"/>
    <n v="32.368445999999999"/>
    <n v="1.78"/>
    <n v="24.689602000000001"/>
    <n v="71154016256"/>
  </r>
  <r>
    <n v="120"/>
    <s v="Edwards Lifesciences Corporatio"/>
    <x v="20"/>
    <n v="0.28726000000000002"/>
    <n v="0.11600000000000001"/>
    <n v="112.37"/>
    <n v="3.081"/>
    <n v="0.126"/>
    <n v="11.829000000000001"/>
    <n v="0.28877002000000002"/>
    <s v="EW"/>
    <n v="12.756"/>
    <n v="38.777999999999999"/>
    <n v="12.658556000000001"/>
    <n v="3.7"/>
    <n v="43.554264000000003"/>
    <n v="70156419072"/>
  </r>
  <r>
    <n v="121"/>
    <s v="General Dynamics Corporation"/>
    <x v="27"/>
    <n v="8.4659990000000004E-2"/>
    <n v="-1.7999999999999999E-2"/>
    <n v="244.36"/>
    <n v="1.43"/>
    <n v="5.4019999999999999E-2"/>
    <n v="74.683999999999997"/>
    <n v="0.19559999"/>
    <s v="GD"/>
    <n v="2.0830000000000002"/>
    <n v="15.199"/>
    <n v="4.3325469999999999"/>
    <n v="2.15"/>
    <n v="19.627310000000001"/>
    <n v="68230934528"/>
  </r>
  <r>
    <n v="122"/>
    <s v="Progressive Corporation (The)"/>
    <x v="41"/>
    <n v="7.0279999999999995E-2"/>
    <n v="9.4E-2"/>
    <n v="116.67"/>
    <n v="0.34"/>
    <n v="4.0930000000000001E-2"/>
    <n v="27.861999999999998"/>
    <n v="0.19001000000000001"/>
    <s v="PGR"/>
    <n v="1.4"/>
    <n v="14.004"/>
    <n v="3.7786632"/>
    <n v="-2.77"/>
    <n v="25.090322"/>
    <n v="68181946368"/>
  </r>
  <r>
    <n v="123"/>
    <s v="Dominion Energy, Inc."/>
    <x v="25"/>
    <n v="0.19323999"/>
    <n v="-0.11899999999999999"/>
    <n v="83.97"/>
    <n v="0.70299999999999996"/>
    <n v="2.1229999999999999E-2"/>
    <n v="152.62200000000001"/>
    <n v="9.6390000000000003E-2"/>
    <s v="D"/>
    <n v="7.952"/>
    <n v="17.488"/>
    <n v="2.7740338000000002"/>
    <n v="2.9"/>
    <n v="20.331717999999999"/>
    <n v="68007972864"/>
  </r>
  <r>
    <n v="124"/>
    <s v="Ford Motor Company"/>
    <x v="4"/>
    <n v="0.13156000000000001"/>
    <n v="4.8000000000000001E-2"/>
    <n v="16.47"/>
    <n v="1.2010000000000001"/>
    <n v="2.5239998E-2"/>
    <n v="286.87599999999998"/>
    <n v="0.45095003"/>
    <s v="F"/>
    <n v="1.2849999999999999"/>
    <n v="10.8"/>
    <n v="1.798624"/>
    <n v="0.16"/>
    <n v="8.2763814999999994"/>
    <n v="65818066944"/>
  </r>
  <r>
    <n v="125"/>
    <s v="Illinois Tool Works Inc."/>
    <x v="37"/>
    <n v="0.19134999999999999"/>
    <n v="7.4999999999999997E-2"/>
    <n v="211.75"/>
    <n v="2.1949999999999998"/>
    <n v="0.14562"/>
    <n v="216.17500000000001"/>
    <n v="0.88109999999999999"/>
    <s v="ITW"/>
    <n v="5.8220000000000001"/>
    <n v="20.957000000000001"/>
    <n v="19.033709000000002"/>
    <n v="2.1"/>
    <n v="23.294827999999999"/>
    <n v="66464301056"/>
  </r>
  <r>
    <n v="126"/>
    <s v="Public Storage"/>
    <x v="34"/>
    <n v="0.50629000000000002"/>
    <n v="0.22800000000000001"/>
    <n v="376"/>
    <n v="2.0750000000000002"/>
    <n v="7.9799999999999996E-2"/>
    <n v="63.881999999999998"/>
    <n v="0.19327"/>
    <s v="PSA"/>
    <n v="21.893999999999998"/>
    <n v="30.975999999999999"/>
    <n v="13.157434"/>
    <n v="2.41"/>
    <n v="41.003273"/>
    <n v="65933484032"/>
  </r>
  <r>
    <n v="127"/>
    <s v="Fiserv, Inc."/>
    <x v="17"/>
    <n v="8.2339999999999997E-2"/>
    <n v="0.1"/>
    <n v="100.51"/>
    <n v="1.0489999999999999"/>
    <n v="2.0879999999999999E-2"/>
    <n v="64.415000000000006"/>
    <n v="4.1700000000000001E-2"/>
    <s v="FISV"/>
    <n v="5.8860000000000001"/>
    <n v="16.611999999999998"/>
    <n v="2.0995132999999999"/>
    <n v="1.04"/>
    <n v="15.534777"/>
    <n v="66359918592"/>
  </r>
  <r>
    <n v="128"/>
    <s v="Sherwin-Williams Company (The)"/>
    <x v="26"/>
    <n v="0.10001001"/>
    <n v="5.0000000000000001E-3"/>
    <n v="245.21"/>
    <n v="0.83"/>
    <n v="8.5949999999999999E-2"/>
    <n v="401.78"/>
    <n v="0.57045999999999997"/>
    <s v="SHW"/>
    <n v="4.9980000000000002"/>
    <n v="28.606000000000002"/>
    <n v="23.843834000000001"/>
    <n v="3.07"/>
    <n v="24.040196999999999"/>
    <n v="64293081088"/>
  </r>
  <r>
    <n v="129"/>
    <s v="Equinix, Inc."/>
    <x v="36"/>
    <n v="6.54E-2"/>
    <n v="0.112"/>
    <n v="710.14"/>
    <n v="1.6279999999999999"/>
    <n v="2.6749999999999999E-2"/>
    <n v="142.51400000000001"/>
    <n v="4.0480000000000002E-2"/>
    <s v="EQIX"/>
    <n v="13.302"/>
    <n v="31.363"/>
    <n v="6.0500780000000001"/>
    <n v="3.99"/>
    <n v="91.868049999999997"/>
    <n v="63941857280"/>
  </r>
  <r>
    <n v="130"/>
    <s v="General Motors Company"/>
    <x v="4"/>
    <n v="7.8889996000000004E-2"/>
    <n v="-0.105"/>
    <n v="43.65"/>
    <n v="1.103"/>
    <n v="2.9779999000000001E-2"/>
    <n v="168.03899999999999"/>
    <n v="0.17222000000000001"/>
    <s v="GM"/>
    <n v="1.2829999999999999"/>
    <n v="9.6449999999999996"/>
    <n v="1.2091414"/>
    <n v="0.64"/>
    <n v="6.3909225000000003"/>
    <n v="63373688832"/>
  </r>
  <r>
    <n v="131"/>
    <s v="Waste Management, Inc."/>
    <x v="49"/>
    <n v="0.10092"/>
    <n v="0.20799999999999999"/>
    <n v="156.28"/>
    <n v="0.77600000000000002"/>
    <n v="7.0110000000000006E-2"/>
    <n v="181.86500000000001"/>
    <n v="0.24409"/>
    <s v="WM"/>
    <n v="4.7149999999999999"/>
    <n v="16.558"/>
    <n v="9.1146619999999992"/>
    <n v="2.2000000000000002"/>
    <n v="28.260397000000001"/>
    <n v="65374425088"/>
  </r>
  <r>
    <n v="132"/>
    <s v="Vertex Pharmaceuticals Incorpor"/>
    <x v="47"/>
    <n v="0.30523001999999999"/>
    <n v="0.28999999999999998"/>
    <n v="253.95"/>
    <n v="4.625"/>
    <n v="0.13846"/>
    <n v="9.1999999999999993"/>
    <n v="0.24639"/>
    <s v="VRTX"/>
    <n v="7.0579999999999998"/>
    <n v="18.163"/>
    <n v="6.8267959999999999"/>
    <n v="1.71"/>
    <n v="18.951491999999998"/>
    <n v="64567296000"/>
  </r>
  <r>
    <n v="133"/>
    <s v="Activision Blizzard, Inc"/>
    <x v="50"/>
    <n v="0.29209000000000002"/>
    <n v="5.8999999999999997E-2"/>
    <n v="79.599999999999994"/>
    <n v="5.5609999999999999"/>
    <n v="8.9840000000000003E-2"/>
    <n v="21.28"/>
    <n v="0.16877001999999999"/>
    <s v="ATVI"/>
    <n v="5.0759999999999996"/>
    <n v="13.486000000000001"/>
    <n v="3.6572480000000001"/>
    <n v="1.33"/>
    <n v="20.947368999999998"/>
    <n v="61999566848"/>
  </r>
  <r>
    <n v="134"/>
    <s v="Newmont Corporation"/>
    <x v="51"/>
    <n v="0.16670999"/>
    <n v="-8.6999999999999994E-2"/>
    <n v="78.95"/>
    <n v="2.67"/>
    <n v="5.7789996000000003E-2"/>
    <n v="26.806000000000001"/>
    <n v="7.2529999999999997E-2"/>
    <s v="NEM"/>
    <n v="4.1109999999999998"/>
    <n v="8.3059999999999992"/>
    <n v="2.7739712999999999"/>
    <m/>
    <n v="28.70909"/>
    <n v="62957490176"/>
  </r>
  <r>
    <n v="135"/>
    <s v="Colgate-Palmolive Company"/>
    <x v="10"/>
    <n v="0.12433"/>
    <n v="1.7999999999999999E-2"/>
    <n v="74.78"/>
    <n v="1.085"/>
    <n v="0.15467"/>
    <n v="808.85699999999997"/>
    <n v="2.2567599999999999"/>
    <s v="CL"/>
    <n v="4.1210000000000004"/>
    <n v="16.364999999999998"/>
    <n v="106.67618"/>
    <n v="4.32"/>
    <n v="22.058996"/>
    <n v="63028248576"/>
  </r>
  <r>
    <n v="136"/>
    <s v="Eaton Corporation, PLC"/>
    <x v="37"/>
    <n v="0.10923000400000001"/>
    <n v="2.4E-2"/>
    <n v="154.18"/>
    <n v="1.0409999999999999"/>
    <n v="4.675E-2"/>
    <n v="54.197000000000003"/>
    <n v="0.13658000000000001"/>
    <s v="ETN"/>
    <n v="3.4889999999999999"/>
    <n v="20.292000000000002"/>
    <n v="3.8479583000000002"/>
    <n v="1.23"/>
    <n v="20.778974999999999"/>
    <n v="61456146432"/>
  </r>
  <r>
    <n v="137"/>
    <s v="Boston Scientific Corporation"/>
    <x v="20"/>
    <n v="0.10077999999999999"/>
    <n v="0.10299999999999999"/>
    <n v="43.5"/>
    <n v="1.5489999999999999"/>
    <n v="3.9440000000000003E-2"/>
    <n v="57.478000000000002"/>
    <n v="7.2190000000000004E-2"/>
    <s v="BSX"/>
    <n v="6.077"/>
    <n v="22.696999999999999"/>
    <n v="3.7649300000000001"/>
    <n v="1.18"/>
    <n v="23.262032000000001"/>
    <n v="61987061760"/>
  </r>
  <r>
    <n v="138"/>
    <s v="Moody's Corporation"/>
    <x v="29"/>
    <n v="0.35199000000000003"/>
    <n v="0.125"/>
    <n v="330.51"/>
    <n v="1.5229999999999999"/>
    <n v="0.13633001"/>
    <n v="307.86500000000001"/>
    <n v="0.97448999999999997"/>
    <s v="MCO"/>
    <n v="13.02"/>
    <n v="25.216000000000001"/>
    <n v="25.283812999999999"/>
    <n v="2.5099999999999998"/>
    <n v="26.086030999999998"/>
    <n v="61441810432"/>
  </r>
  <r>
    <n v="139"/>
    <s v="Pioneer Natural Resources Compa"/>
    <x v="30"/>
    <n v="0.11852"/>
    <n v="1.7629999999999999"/>
    <n v="256.70999999999998"/>
    <n v="1.516"/>
    <n v="9.3950000000000006E-2"/>
    <n v="34.308"/>
    <n v="0.12311999999999999"/>
    <s v="PXD"/>
    <n v="3.4289999999999998"/>
    <n v="9.1150000000000002"/>
    <n v="2.7020400000000002"/>
    <n v="0.18"/>
    <n v="12.867668"/>
    <n v="62671638528"/>
  </r>
  <r>
    <n v="140"/>
    <s v="Schlumberger N.V."/>
    <x v="52"/>
    <n v="8.2040004E-2"/>
    <n v="0.125"/>
    <n v="43.68"/>
    <n v="1.222"/>
    <n v="4.1169999999999998E-2"/>
    <n v="98.188000000000002"/>
    <n v="0.13883000000000001"/>
    <s v="SLB"/>
    <n v="2.9319999999999999"/>
    <n v="15.042"/>
    <n v="4.5853453000000002"/>
    <n v="0.73"/>
    <n v="26.797546000000001"/>
    <n v="61266878464"/>
  </r>
  <r>
    <n v="141"/>
    <s v="Fidelity National Information S"/>
    <x v="17"/>
    <n v="3.0050001999999999E-2"/>
    <n v="0.107"/>
    <n v="97.45"/>
    <n v="0.74"/>
    <n v="9.7400000000000004E-3"/>
    <n v="43.921999999999997"/>
    <n v="8.7399999999999995E-3"/>
    <s v="FIS"/>
    <n v="5.444"/>
    <n v="19.178000000000001"/>
    <n v="1.2598902999999999"/>
    <n v="1.1599999999999999"/>
    <n v="13.186738999999999"/>
    <n v="59340910592"/>
  </r>
  <r>
    <n v="142"/>
    <s v="FedEx Corporation"/>
    <x v="22"/>
    <n v="5.4890000000000001E-2"/>
    <n v="0.14199999999999999"/>
    <n v="226.56"/>
    <n v="1.494"/>
    <n v="5.9130000000000002E-2"/>
    <n v="147.66999999999999"/>
    <n v="0.21384001"/>
    <s v="FDX"/>
    <n v="1.903"/>
    <n v="14.535"/>
    <n v="2.4070374999999999"/>
    <n v="0.73"/>
    <n v="9.8418759999999992"/>
    <n v="60031373312"/>
  </r>
  <r>
    <n v="143"/>
    <s v="Emerson Electric Company"/>
    <x v="37"/>
    <n v="0.12629000000000001"/>
    <n v="8.5000000000000006E-2"/>
    <n v="98.51"/>
    <n v="1.35"/>
    <n v="8.1259999999999999E-2"/>
    <n v="72.891000000000005"/>
    <n v="0.25335000000000002"/>
    <s v="EMR"/>
    <n v="3.3959999999999999"/>
    <n v="15.907999999999999"/>
    <n v="5.9386305999999998"/>
    <n v="1.83"/>
    <n v="18.447565000000001"/>
    <n v="58682310656"/>
  </r>
  <r>
    <n v="144"/>
    <s v="MetLife, Inc."/>
    <x v="53"/>
    <n v="7.8210000000000002E-2"/>
    <n v="5.6000000000000001E-2"/>
    <n v="71.290000000000006"/>
    <n v="0.96899999999999997"/>
    <n v="6.4099999999999999E-3"/>
    <n v="157.91499999999999"/>
    <n v="7.7280000000000001E-2"/>
    <s v="MET"/>
    <n v="1.867"/>
    <n v="15.803000000000001"/>
    <n v="0.87193160000000003"/>
    <n v="0.92"/>
    <n v="9.901389"/>
    <n v="59966296064"/>
  </r>
  <r>
    <n v="145"/>
    <s v="Marriott International"/>
    <x v="54"/>
    <n v="0.16379999000000001"/>
    <n v="1.1419999999999999"/>
    <n v="171.52"/>
    <n v="0.497"/>
    <n v="3.4770000000000002E-2"/>
    <n v="1163.943"/>
    <n v="0.81430000000000002"/>
    <s v="MAR"/>
    <n v="22.67"/>
    <n v="39.098999999999997"/>
    <n v="60.844273000000001"/>
    <n v="0.25"/>
    <n v="32.240600000000001"/>
    <n v="55861149696"/>
  </r>
  <r>
    <n v="147"/>
    <s v="Humana Inc."/>
    <x v="6"/>
    <n v="3.252E-2"/>
    <n v="8.6999999999999994E-2"/>
    <n v="435.54"/>
    <n v="1.718"/>
    <n v="5.7729996999999998E-2"/>
    <n v="76.778000000000006"/>
    <n v="0.1668"/>
    <s v="HUM"/>
    <n v="0.65100000000000002"/>
    <n v="12.743"/>
    <n v="3.4429224"/>
    <n v="1.72"/>
    <n v="18.147500999999998"/>
    <n v="55981699072"/>
  </r>
  <r>
    <n v="148"/>
    <s v="KLA Corporation"/>
    <x v="33"/>
    <n v="0.36523998000000002"/>
    <n v="0.35399999999999998"/>
    <n v="366.44"/>
    <n v="2.4350000000000001"/>
    <n v="0.16972999999999999"/>
    <n v="91.792000000000002"/>
    <n v="0.82329005"/>
    <s v="KLAC"/>
    <n v="8.8829999999999991"/>
    <n v="21.295999999999999"/>
    <n v="14.40239"/>
    <n v="1.04"/>
    <n v="17.252354"/>
    <n v="55560364032"/>
  </r>
  <r>
    <n v="149"/>
    <s v="Fortinet, Inc."/>
    <x v="1"/>
    <n v="0.17735000000000001"/>
    <n v="0.33200000000000002"/>
    <n v="332.73"/>
    <n v="1.8029999999999999"/>
    <n v="7.8520000000000006E-2"/>
    <n v="94.32"/>
    <n v="0.59995997000000001"/>
    <s v="FTNT"/>
    <n v="16.196000000000002"/>
    <n v="74.896000000000001"/>
    <n v="48.623412999999999"/>
    <n v="4.9000000000000004"/>
    <n v="72.175704999999994"/>
    <n v="54401355776"/>
  </r>
  <r>
    <n v="150"/>
    <s v="Occidental Petroleum Corporatio"/>
    <x v="30"/>
    <n v="-1.4730001E-2"/>
    <n v="0.65300000000000002"/>
    <n v="58.71"/>
    <n v="1.085"/>
    <n v="1.4049999000000001E-2"/>
    <n v="176.321"/>
    <n v="4.13E-3"/>
    <s v="OXY"/>
    <n v="3.25"/>
    <n v="7.0090000000000003"/>
    <n v="6.0184517"/>
    <n v="0.42"/>
    <n v="20.244827000000001"/>
    <n v="54834024448"/>
  </r>
  <r>
    <n v="151"/>
    <s v="Illumina, Inc."/>
    <x v="16"/>
    <n v="0.21192"/>
    <n v="0.39500000000000002"/>
    <n v="341.72"/>
    <n v="2.6819999999999999"/>
    <n v="3.9280000000000002E-2"/>
    <n v="23.95"/>
    <n v="0.11862001"/>
    <s v="ILMN"/>
    <n v="13.895"/>
    <n v="64.784000000000006"/>
    <n v="5.0646943999999996"/>
    <n v="12.09"/>
    <n v="84.794039999999995"/>
    <n v="53410836480"/>
  </r>
  <r>
    <n v="152"/>
    <s v="Air Products and Chemicals, Inc"/>
    <x v="26"/>
    <n v="0.20333999999999999"/>
    <n v="0.22500000000000001"/>
    <n v="246.56"/>
    <n v="2.992"/>
    <n v="5.6570000000000002E-2"/>
    <n v="58.573999999999998"/>
    <n v="0.15412999999999999"/>
    <s v="APD"/>
    <n v="6.7119999999999997"/>
    <n v="18.852"/>
    <n v="4.0316567000000001"/>
    <n v="2.2200000000000002"/>
    <n v="20.983830000000001"/>
    <n v="54658408448"/>
  </r>
  <r>
    <n v="153"/>
    <s v="American International Group, I"/>
    <x v="55"/>
    <n v="0.11803999499999999"/>
    <n v="0.30199999999999999"/>
    <n v="64.48"/>
    <n v="0.74299999999999999"/>
    <n v="8.4100000000000008E-3"/>
    <n v="48.051000000000002"/>
    <n v="8.906E-2"/>
    <s v="AIG"/>
    <n v="1.3819999999999999"/>
    <n v="5.2869999999999999"/>
    <n v="0.83711994000000001"/>
    <n v="0.41"/>
    <n v="12.029851000000001"/>
    <n v="53537615872"/>
  </r>
  <r>
    <n v="154"/>
    <s v="Archer-Daniels-Midland Company"/>
    <x v="56"/>
    <n v="3.2620000000000003E-2"/>
    <n v="0.34499999999999997"/>
    <n v="93.49"/>
    <n v="1.577"/>
    <n v="3.5479999999999998E-2"/>
    <n v="44.843000000000004"/>
    <n v="0.12636"/>
    <s v="ADM"/>
    <n v="0.60799999999999998"/>
    <n v="13.016"/>
    <n v="2.3788200000000002"/>
    <n v="1.41"/>
    <n v="19.558577"/>
    <n v="52302139392"/>
  </r>
  <r>
    <n v="155"/>
    <s v="DBA Sempra"/>
    <x v="57"/>
    <n v="9.5449999999999993E-2"/>
    <n v="0.14000000000000001"/>
    <n v="162.46"/>
    <n v="0.35499999999999998"/>
    <n v="2.3239998000000001E-2"/>
    <n v="107.974"/>
    <n v="4.7800000000000002E-2"/>
    <s v="SRE"/>
    <n v="5.7080000000000002"/>
    <n v="15.983000000000001"/>
    <n v="2.1899307000000001"/>
    <n v="3.65"/>
    <n v="19.203309999999998"/>
    <n v="51879489536"/>
  </r>
  <r>
    <n v="156"/>
    <s v="Dollar General Corporation"/>
    <x v="9"/>
    <n v="7.1929999999999994E-2"/>
    <n v="3.9E-2"/>
    <n v="221.47"/>
    <n v="1.077"/>
    <n v="7.918E-2"/>
    <n v="227.684"/>
    <n v="0.37108000000000002"/>
    <s v="DG"/>
    <n v="1.921"/>
    <n v="16.64"/>
    <n v="8.2904090000000004"/>
    <n v="3.47"/>
    <n v="19.686222000000001"/>
    <n v="51315929088"/>
  </r>
  <r>
    <n v="157"/>
    <s v="Ecolab Inc."/>
    <x v="26"/>
    <n v="9.0819999999999998E-2"/>
    <n v="0.1"/>
    <n v="177.59"/>
    <n v="1.7230000000000001"/>
    <n v="6.4920000000000005E-2"/>
    <n v="90.912999999999997"/>
    <n v="0.17579001"/>
    <s v="ECL"/>
    <n v="5.8140000000000001"/>
    <n v="26.718"/>
    <n v="7.3399463000000003"/>
    <n v="2.63"/>
    <n v="29.747067999999999"/>
    <n v="50891431936"/>
  </r>
  <r>
    <n v="158"/>
    <s v="NXP Semiconductors N.V."/>
    <x v="5"/>
    <n v="0.14984"/>
    <n v="0.26200000000000001"/>
    <n v="190.46"/>
    <n v="1.373"/>
    <n v="7.0529999999999995E-2"/>
    <n v="137.59299999999999"/>
    <n v="0.20143"/>
    <s v="NXPI"/>
    <n v="6.5949999999999998"/>
    <n v="19.585999999999999"/>
    <n v="7.5286584000000003"/>
    <n v="1.01"/>
    <n v="15.845257999999999"/>
    <n v="50649600000"/>
  </r>
  <r>
    <n v="159"/>
    <s v="Synopsys, Inc."/>
    <x v="1"/>
    <n v="0.20177998999999999"/>
    <n v="0.309"/>
    <n v="318.91000000000003"/>
    <n v="1.1930000000000001"/>
    <n v="7.2319999999999995E-2"/>
    <n v="10.771000000000001"/>
    <n v="0.17663999"/>
    <s v="SNPS"/>
    <n v="10.352"/>
    <n v="40.841000000000001"/>
    <n v="9.2183840000000004"/>
    <n v="3.15"/>
    <n v="35.355873000000003"/>
    <n v="48932913152"/>
  </r>
  <r>
    <n v="160"/>
    <s v="L3Harris Technologies, Inc."/>
    <x v="27"/>
    <n v="8.5800000000000001E-2"/>
    <n v="-5.1999999999999998E-2"/>
    <n v="257.85000000000002"/>
    <n v="1.536"/>
    <n v="4.7270003999999997E-2"/>
    <n v="40.103999999999999"/>
    <n v="7.5209999999999999E-2"/>
    <s v="LHX"/>
    <n v="2.6949999999999998"/>
    <n v="13.141999999999999"/>
    <n v="2.6043878"/>
    <m/>
    <n v="18.848683999999999"/>
    <n v="50596614144"/>
  </r>
  <r>
    <n v="161"/>
    <s v="Centene Corporation"/>
    <x v="6"/>
    <n v="1.14E-2"/>
    <n v="0.152"/>
    <n v="85.59"/>
    <n v="1.1060000000000001"/>
    <n v="3.1280000000000002E-2"/>
    <n v="83.861000000000004"/>
    <n v="5.0430004E-2"/>
    <s v="CNC"/>
    <n v="0.48099999999999998"/>
    <n v="11.032"/>
    <n v="1.8870294999999999"/>
    <n v="1.47"/>
    <n v="15.704587"/>
    <n v="49942016000"/>
  </r>
  <r>
    <n v="162"/>
    <s v="Roper Technologies, Inc."/>
    <x v="37"/>
    <n v="0.19949"/>
    <n v="0.13200000000000001"/>
    <n v="465.86"/>
    <n v="0.77600000000000002"/>
    <n v="4.1360002E-2"/>
    <n v="70.513999999999996"/>
    <n v="8.9149999999999993E-2"/>
    <s v="ROP"/>
    <n v="9.4870000000000001"/>
    <n v="24.76"/>
    <n v="4.3325734000000002"/>
    <n v="2.79"/>
    <n v="30.528176999999999"/>
    <n v="49141239808"/>
  </r>
  <r>
    <n v="163"/>
    <s v="American Electric Power Company"/>
    <x v="25"/>
    <n v="0.14593"/>
    <n v="0.13700000000000001"/>
    <n v="96.84"/>
    <n v="0.58099999999999996"/>
    <n v="2.5880001E-2"/>
    <n v="168.28899999999999"/>
    <n v="0.11047999999999999"/>
    <s v="AEP"/>
    <n v="4.9059999999999997"/>
    <n v="13.154999999999999"/>
    <n v="2.1889691"/>
    <n v="3.44"/>
    <n v="19.484909999999999"/>
    <n v="48070406144"/>
  </r>
  <r>
    <n v="164"/>
    <s v="Cognizant Technology Solutions "/>
    <x v="17"/>
    <n v="0.11547"/>
    <n v="0.14199999999999999"/>
    <n v="91.51"/>
    <n v="2.08"/>
    <n v="0.1009"/>
    <n v="13.802"/>
    <n v="0.18722999000000001"/>
    <s v="CTSH"/>
    <n v="2.3820000000000001"/>
    <n v="13.167999999999999"/>
    <n v="4.1610583999999999"/>
    <n v="1.61"/>
    <n v="20.245574999999999"/>
    <n v="48622833664"/>
  </r>
  <r>
    <n v="165"/>
    <s v="The Kraft Heinz Company"/>
    <x v="58"/>
    <n v="8.7580000000000005E-2"/>
    <n v="-1.7999999999999999E-2"/>
    <n v="39.29"/>
    <n v="1.1299999999999999"/>
    <n v="3.7409999999999999E-2"/>
    <n v="47.921999999999997"/>
    <n v="4.6460000000000001E-2"/>
    <s v="KHC"/>
    <n v="2.5569999999999999"/>
    <n v="10.025"/>
    <n v="0.96247125"/>
    <n v="-5.44"/>
    <n v="14.882576"/>
    <n v="48092528640"/>
  </r>
  <r>
    <n v="166"/>
    <s v="Dow Inc."/>
    <x v="59"/>
    <n v="0.11324999500000001"/>
    <n v="0.52800000000000002"/>
    <n v="64.7"/>
    <n v="1.5940000000000001"/>
    <n v="7.3959999999999998E-2"/>
    <n v="97.456999999999994"/>
    <n v="0.39372003"/>
    <s v="DOW"/>
    <n v="1.143"/>
    <n v="5.8529999999999998"/>
    <n v="2.9110049999999998"/>
    <n v="0.12"/>
    <n v="10.141066"/>
    <n v="47853023232"/>
  </r>
  <r>
    <n v="167"/>
    <s v="O'Reilly Automotive, Inc."/>
    <x v="60"/>
    <n v="0.15847"/>
    <n v="8.5000000000000006E-2"/>
    <n v="703.36"/>
    <n v="0.76200000000000001"/>
    <n v="0.14299000000000001"/>
    <n v="0"/>
    <n v="7.1736700000000004"/>
    <s v="ORLY"/>
    <n v="4.0999999999999996"/>
    <n v="17.015999999999998"/>
    <m/>
    <n v="1.93"/>
    <n v="22.880935999999998"/>
    <n v="47391268864"/>
  </r>
  <r>
    <n v="168"/>
    <s v="Autodesk, Inc."/>
    <x v="19"/>
    <n v="0.31304999999999999"/>
    <n v="0.182"/>
    <n v="212.14"/>
    <n v="0.80900000000000005"/>
    <n v="5.9569999999999998E-2"/>
    <n v="238.261"/>
    <n v="1.9555298999999999"/>
    <s v="ADSK"/>
    <n v="14.82"/>
    <n v="79.587000000000003"/>
    <n v="36.500346999999998"/>
    <n v="1.92"/>
    <n v="31.060030000000001"/>
    <n v="46665068544"/>
  </r>
  <r>
    <n v="169"/>
    <s v="Johnson Controls International "/>
    <x v="61"/>
    <n v="6.9169999999999995E-2"/>
    <n v="7.3999999999999996E-2"/>
    <n v="66.239999999999995"/>
    <n v="1.099"/>
    <n v="5.0250000000000003E-2"/>
    <n v="48.6"/>
    <n v="9.3649999999999997E-2"/>
    <s v="JCI"/>
    <n v="2.77"/>
    <n v="15.721"/>
    <n v="2.6732314000000001"/>
    <n v="1.4"/>
    <n v="18.925713999999999"/>
    <n v="46654951424"/>
  </r>
  <r>
    <n v="170"/>
    <s v="Paychex, Inc."/>
    <x v="40"/>
    <n v="0.29526999999999998"/>
    <n v="0.127"/>
    <n v="128.71"/>
    <n v="1.27"/>
    <n v="0.11481"/>
    <n v="28.626999999999999"/>
    <n v="0.42571998"/>
    <s v="PAYX"/>
    <n v="11.153"/>
    <n v="25.847999999999999"/>
    <n v="14.884931999999999"/>
    <n v="3.01"/>
    <n v="33.258400000000002"/>
    <n v="46433034240"/>
  </r>
  <r>
    <n v="171"/>
    <s v="McKesson Corporation"/>
    <x v="62"/>
    <n v="5.4900004000000002E-3"/>
    <n v="9.6000000000000002E-2"/>
    <n v="310.48"/>
    <n v="0.98"/>
    <n v="2.6859999999999998E-2"/>
    <n v="0"/>
    <n v="14.01754"/>
    <s v="MCK"/>
    <n v="0.185"/>
    <n v="13.516999999999999"/>
    <m/>
    <n v="0.93"/>
    <n v="14.093508999999999"/>
    <n v="47404707840"/>
  </r>
  <r>
    <n v="172"/>
    <s v="IDEXX Laboratories, Inc."/>
    <x v="16"/>
    <n v="0.23165000999999999"/>
    <n v="0.111"/>
    <n v="538.92999999999995"/>
    <n v="1.252"/>
    <n v="0.24621999999999999"/>
    <n v="149.42500000000001"/>
    <n v="1.1261699000000001"/>
    <s v="IDXX"/>
    <n v="13.83"/>
    <n v="42.896000000000001"/>
    <n v="60.608409999999999"/>
    <n v="3.16"/>
    <n v="57.272053"/>
    <n v="45697814528"/>
  </r>
  <r>
    <n v="173"/>
    <s v="DexCom, Inc."/>
    <x v="20"/>
    <n v="0.22822999999999999"/>
    <n v="0.29799999999999999"/>
    <n v="480.97"/>
    <n v="4.9749999999999996"/>
    <n v="5.3609999999999998E-2"/>
    <n v="88.174999999999997"/>
    <n v="0.29119"/>
    <s v="DXCM"/>
    <n v="21.056999999999999"/>
    <n v="109.22799999999999"/>
    <n v="21.818633999999999"/>
    <n v="9.92"/>
    <n v="132.86464000000001"/>
    <n v="46616576000"/>
  </r>
  <r>
    <n v="174"/>
    <s v="Marathon Petroleum Corporation"/>
    <x v="63"/>
    <n v="8.0850000000000005E-2"/>
    <n v="0.96699999999999997"/>
    <n v="82.23"/>
    <m/>
    <m/>
    <n v="79.974000000000004"/>
    <n v="7.7149999999999996E-2"/>
    <s v="MPC"/>
    <n v="0.55100000000000005"/>
    <n v="9.1839999999999993"/>
    <n v="1.8086043999999999"/>
    <n v="0.89"/>
    <n v="19.485785"/>
    <n v="50619801600"/>
  </r>
  <r>
    <n v="175"/>
    <s v="Amphenol Corporation"/>
    <x v="64"/>
    <n v="0.14626001"/>
    <n v="0.248"/>
    <n v="75.67"/>
    <n v="2.4350000000000001"/>
    <n v="0.10037"/>
    <n v="79.179000000000002"/>
    <n v="0.26711000000000001"/>
    <s v="APH"/>
    <n v="4.5430000000000001"/>
    <n v="19.271000000000001"/>
    <n v="7.6050253000000003"/>
    <n v="2.5"/>
    <n v="28.340821999999999"/>
    <n v="45252780032"/>
  </r>
  <r>
    <n v="176"/>
    <s v="Cadence Design Systems, Inc."/>
    <x v="19"/>
    <n v="0.23297001000000001"/>
    <n v="0.126"/>
    <n v="158.84"/>
    <n v="1.7010000000000001"/>
    <n v="0.1164"/>
    <n v="13.202"/>
    <n v="0.27576000000000001"/>
    <s v="CDNS"/>
    <n v="16.385000000000002"/>
    <n v="52.783000000000001"/>
    <n v="16.730566"/>
    <n v="3.28"/>
    <n v="44.617977000000003"/>
    <n v="44021075968"/>
  </r>
  <r>
    <n v="177"/>
    <s v="Prudential Financial, Inc."/>
    <x v="53"/>
    <n v="0.12445000000000001"/>
    <n v="-0.11"/>
    <n v="120.86"/>
    <n v="1.2649999999999999"/>
    <n v="7.3600000000000002E-3"/>
    <n v="54.392000000000003"/>
    <n v="0.118090004"/>
    <s v="PRU"/>
    <n v="0.82"/>
    <n v="4.5549999999999997"/>
    <n v="0.74004227"/>
    <n v="0.95"/>
    <n v="9.5920629999999996"/>
    <n v="45685080064"/>
  </r>
  <r>
    <n v="178"/>
    <s v="The Travelers Companies, Inc."/>
    <x v="41"/>
    <n v="0.10640000600000001"/>
    <n v="6.4000000000000001E-2"/>
    <n v="187.75"/>
    <n v="0.36099999999999999"/>
    <n v="2.5090002E-2"/>
    <n v="25.602"/>
    <n v="0.12922"/>
    <s v="TRV"/>
    <n v="1.194"/>
    <n v="7.2489999999999997"/>
    <n v="1.6220583"/>
    <n v="1.48"/>
    <n v="14.960159000000001"/>
    <n v="46188187648"/>
  </r>
  <r>
    <n v="179"/>
    <s v="The Hershey Company"/>
    <x v="43"/>
    <n v="0.16469"/>
    <n v="6.4000000000000001E-2"/>
    <n v="214.37"/>
    <n v="0.90100000000000002"/>
    <n v="0.13102000999999999"/>
    <n v="194.98099999999999"/>
    <n v="0.59370999999999996"/>
    <s v="HSY"/>
    <n v="5.444"/>
    <n v="20.664000000000001"/>
    <n v="17.465374000000001"/>
    <n v="3.01"/>
    <n v="28.506648999999999"/>
    <n v="44161077248"/>
  </r>
  <r>
    <n v="180"/>
    <s v="Chipotle Mexican Grill, Inc."/>
    <x v="23"/>
    <n v="8.652E-2"/>
    <n v="0.22"/>
    <n v="1556.37"/>
    <n v="1.581"/>
    <n v="8.2070000000000004E-2"/>
    <n v="153.232"/>
    <n v="0.30247997999999998"/>
    <s v="CMG"/>
    <n v="5.2409999999999997"/>
    <n v="36.481999999999999"/>
    <n v="18.962084000000001"/>
    <n v="1.47"/>
    <n v="46.96349"/>
    <n v="43789090816"/>
  </r>
  <r>
    <n v="181"/>
    <s v="Exelon Corporation"/>
    <x v="57"/>
    <n v="4.8060004000000003E-2"/>
    <n v="6.0000000000000001E-3"/>
    <n v="45.51"/>
    <n v="0.94"/>
    <n v="2.479E-2"/>
    <n v="121.723"/>
    <n v="5.4089999999999999E-2"/>
    <s v="EXC"/>
    <n v="2.2839999999999998"/>
    <n v="7.7670000000000003"/>
    <n v="1.3152798000000001"/>
    <n v="-43.47"/>
    <n v="13.707831000000001"/>
    <n v="44523249664"/>
  </r>
  <r>
    <n v="182"/>
    <s v="Microchip Technology Incorporat"/>
    <x v="5"/>
    <n v="0.14954000000000001"/>
    <n v="0.3"/>
    <n v="77.16"/>
    <n v="1.806"/>
    <n v="6.2090001999999998E-2"/>
    <n v="136.19"/>
    <n v="0.17362"/>
    <s v="MCHP"/>
    <n v="7.3259999999999996"/>
    <n v="17.114000000000001"/>
    <n v="7.5072975"/>
    <n v="1.08"/>
    <n v="15.714869"/>
    <n v="42813845504"/>
  </r>
  <r>
    <n v="183"/>
    <s v="TE Connectivity Ltd. New Switze"/>
    <x v="64"/>
    <n v="0.16072"/>
    <n v="8.4000000000000005E-2"/>
    <n v="132.24"/>
    <n v="1.6950000000000001"/>
    <n v="8.3739995999999997E-2"/>
    <n v="36.386000000000003"/>
    <n v="0.23186999999999999"/>
    <s v="TEL"/>
    <n v="3.234"/>
    <n v="13.778"/>
    <n v="4.0669209999999998"/>
    <n v="1.6"/>
    <n v="16.718078999999999"/>
    <n v="43151630336"/>
  </r>
  <r>
    <n v="184"/>
    <s v="Arista Networks, Inc."/>
    <x v="65"/>
    <n v="0.28300999999999998"/>
    <n v="0.23699999999999999"/>
    <n v="138.4"/>
    <n v="5.0640000000000001"/>
    <n v="0.10855999600000001"/>
    <n v="1.5940000000000001"/>
    <n v="0.22579001000000001"/>
    <s v="ANET"/>
    <n v="14.170999999999999"/>
    <n v="43.417999999999999"/>
    <n v="11.012093999999999"/>
    <n v="2.8"/>
    <n v="40.232554999999998"/>
    <n v="42530316288"/>
  </r>
  <r>
    <n v="185"/>
    <s v="IQVIA Holdings, Inc."/>
    <x v="16"/>
    <n v="5.6660000000000002E-2"/>
    <n v="0.217"/>
    <n v="224.76"/>
    <n v="0.93500000000000005"/>
    <n v="3.2980002000000001E-2"/>
    <n v="215.011"/>
    <n v="0.13120000000000001"/>
    <s v="IQV"/>
    <n v="4.5940000000000003"/>
    <n v="26.553999999999998"/>
    <n v="7.3686967000000001"/>
    <n v="1.36"/>
    <n v="22.143843"/>
    <n v="42938150912"/>
  </r>
  <r>
    <n v="186"/>
    <s v="Simon Property Group, Inc."/>
    <x v="66"/>
    <n v="0.41"/>
    <n v="0.222"/>
    <n v="130.16999999999999"/>
    <n v="0.39400000000000002"/>
    <n v="4.3499999999999997E-2"/>
    <n v="589.32000000000005"/>
    <n v="0.69601995000000005"/>
    <s v="SPG"/>
    <n v="16.317"/>
    <n v="22.593"/>
    <n v="12.822103500000001"/>
    <n v="2.94"/>
    <n v="21.374383999999999"/>
    <n v="42776334336"/>
  </r>
  <r>
    <n v="187"/>
    <s v="Cintas Corporation"/>
    <x v="67"/>
    <n v="0.155"/>
    <n v="9.4E-2"/>
    <n v="413.32"/>
    <n v="1.2190000000000001"/>
    <n v="0.111049995"/>
    <n v="73.584999999999994"/>
    <n v="0.32173002000000001"/>
    <s v="CTAS"/>
    <n v="5.9589999999999996"/>
    <n v="25.308"/>
    <n v="12.024903"/>
    <n v="3.32"/>
    <n v="34.500835000000002"/>
    <n v="42846404608"/>
  </r>
  <r>
    <n v="188"/>
    <s v="Corteva, Inc."/>
    <x v="68"/>
    <n v="0.10668000599999999"/>
    <n v="0.27300000000000002"/>
    <n v="59.79"/>
    <n v="1.8120000000000001"/>
    <n v="1.3890001000000001E-2"/>
    <n v="9.9"/>
    <n v="7.1609995999999995E-2"/>
    <s v="CTVA"/>
    <n v="2.238"/>
    <n v="15.974"/>
    <n v="1.7648623000000001"/>
    <n v="0.9"/>
    <n v="23.084944"/>
    <n v="43581468672"/>
  </r>
  <r>
    <n v="189"/>
    <s v="Constellation Brands, Inc."/>
    <x v="69"/>
    <n v="-6.1000003000000001E-3"/>
    <n v="-4.8000000000000001E-2"/>
    <n v="229.41"/>
    <n v="1.502"/>
    <n v="6.8760000000000002E-2"/>
    <n v="90.09"/>
    <n v="-1.1100000999999999E-3"/>
    <s v="STZ"/>
    <n v="5.8"/>
    <n v="15.462999999999999"/>
    <n v="3.8509057000000002"/>
    <n v="2.73"/>
    <n v="19.343171999999999"/>
    <n v="43014148096"/>
  </r>
  <r>
    <n v="190"/>
    <s v="Hilton Worldwide Holdings Inc."/>
    <x v="54"/>
    <n v="1.899E-2"/>
    <n v="0.93"/>
    <n v="151.5"/>
    <n v="1.0269999999999999"/>
    <n v="3.0009999999999998E-2"/>
    <n v="0"/>
    <m/>
    <s v="HLT"/>
    <n v="25.274000000000001"/>
    <n v="52.758000000000003"/>
    <m/>
    <n v="0.25"/>
    <n v="35.232554999999998"/>
    <n v="42226380800"/>
  </r>
  <r>
    <n v="191"/>
    <s v="Welltower Inc."/>
    <x v="70"/>
    <n v="9.6860000000000002E-2"/>
    <n v="0.19600000000000001"/>
    <n v="96.22"/>
    <n v="1.694"/>
    <n v="1.3569999500000001E-2"/>
    <n v="78.370999999999995"/>
    <n v="2.614E-2"/>
    <s v="WELL"/>
    <n v="11.77"/>
    <n v="31.036999999999999"/>
    <n v="2.4836094000000002"/>
    <n v="8.58"/>
    <n v="95.267330000000001"/>
    <n v="41882161152"/>
  </r>
  <r>
    <n v="193"/>
    <s v="AFLAC Incorporated"/>
    <x v="53"/>
    <n v="0.18766000999999999"/>
    <n v="-7.5999999999999998E-2"/>
    <n v="65.53"/>
    <n v="0.68400000000000005"/>
    <n v="2.1569999999999999E-2"/>
    <n v="32.579000000000001"/>
    <n v="0.12836"/>
    <s v="AFL"/>
    <n v="1.891"/>
    <n v="7.6390000000000002"/>
    <n v="1.2945476"/>
    <n v="2.62"/>
    <n v="12.434535"/>
    <n v="43349929984"/>
  </r>
  <r>
    <n v="194"/>
    <s v="Sysco Corporation"/>
    <x v="71"/>
    <n v="1.2930000000000001E-2"/>
    <n v="0.41199999999999998"/>
    <n v="80.91"/>
    <n v="1.325"/>
    <n v="5.8349999999999999E-2"/>
    <n v="944.60599999999999"/>
    <n v="0.57828999999999997"/>
    <s v="SYY"/>
    <n v="0.82199999999999995"/>
    <n v="17.838000000000001"/>
    <n v="24.773423999999999"/>
    <n v="0.44"/>
    <n v="19.218529"/>
    <n v="41479000064"/>
  </r>
  <r>
    <n v="195"/>
    <s v="Kroger Company (The)"/>
    <x v="72"/>
    <n v="7.4699995999999999E-3"/>
    <n v="7.1999999999999995E-2"/>
    <n v="57"/>
    <n v="0.79700000000000004"/>
    <n v="3.3570003000000001E-2"/>
    <n v="218.16499999999999"/>
    <n v="0.10453"/>
    <s v="KR"/>
    <n v="0.377"/>
    <n v="9.2200000000000006"/>
    <n v="4.4192900000000002"/>
    <n v="2.02"/>
    <n v="16.814160000000001"/>
    <n v="41909592064"/>
  </r>
  <r>
    <n v="196"/>
    <s v="Monster Beverage Corporation"/>
    <x v="13"/>
    <n v="0.28760000000000002"/>
    <n v="0.13200000000000001"/>
    <n v="78.7"/>
    <n v="4.702"/>
    <n v="0.16991000000000001"/>
    <n v="0.318"/>
    <n v="0.28100999999999998"/>
    <s v="MNST"/>
    <n v="9.1859999999999999"/>
    <n v="26.481000000000002"/>
    <n v="6.668361"/>
    <n v="2.66"/>
    <n v="26.768705000000001"/>
    <n v="41643237376"/>
  </r>
  <r>
    <n v="197"/>
    <s v="Kinder Morgan, Inc."/>
    <x v="73"/>
    <n v="0.11464000000000001"/>
    <n v="0.31"/>
    <n v="19.07"/>
    <n v="0.46100000000000002"/>
    <n v="3.9600000000000003E-2"/>
    <n v="103.76"/>
    <n v="5.6539997000000002E-2"/>
    <s v="KMI"/>
    <n v="4.6609999999999996"/>
    <n v="10.872"/>
    <n v="1.4152133"/>
    <n v="1.71"/>
    <n v="18.514562999999999"/>
    <n v="43239886848"/>
  </r>
  <r>
    <n v="198"/>
    <s v="Nucor Corporation"/>
    <x v="74"/>
    <n v="0.15856999999999999"/>
    <n v="1.093"/>
    <n v="157.62"/>
    <n v="2.5270000000000001"/>
    <n v="0.19094999000000001"/>
    <n v="41.688000000000002"/>
    <n v="0.42226999999999998"/>
    <s v="NUE"/>
    <n v="1.204"/>
    <n v="4.9189999999999996"/>
    <n v="3.3561160000000001"/>
    <n v="0.14000000000000001"/>
    <n v="9.4270329999999998"/>
    <n v="45047640064"/>
  </r>
  <r>
    <n v="199"/>
    <s v="Republic Services, Inc."/>
    <x v="49"/>
    <n v="0.114250004"/>
    <n v="0.14799999999999999"/>
    <n v="131.5"/>
    <n v="0.70799999999999996"/>
    <n v="5.4640002999999999E-2"/>
    <n v="110.05200000000001"/>
    <n v="0.14795999000000001"/>
    <s v="RSG"/>
    <n v="4.4569999999999999"/>
    <n v="15.06"/>
    <n v="4.7066827"/>
    <n v="3.12"/>
    <n v="28.401727999999999"/>
    <n v="41697992704"/>
  </r>
  <r>
    <n v="200"/>
    <s v="Agilent Technologies, Inc."/>
    <x v="16"/>
    <n v="0.19148001000000001"/>
    <n v="0.11899999999999999"/>
    <n v="135.71"/>
    <n v="2.2240000000000002"/>
    <n v="8.6319999999999994E-2"/>
    <n v="54.017000000000003"/>
    <n v="0.23582001"/>
    <s v="A"/>
    <n v="7.1050000000000004"/>
    <n v="26.027000000000001"/>
    <n v="7.6104754999999997"/>
    <n v="2.99"/>
    <n v="28.874469999999999"/>
    <n v="40984555520"/>
  </r>
  <r>
    <n v="201"/>
    <s v="Devon Energy Corporation"/>
    <x v="30"/>
    <n v="0.11572"/>
    <n v="2.141"/>
    <n v="62.5"/>
    <n v="1.206"/>
    <n v="0.17560999999999999"/>
    <n v="74.781999999999996"/>
    <n v="0.20444000000000001"/>
    <s v="DVN"/>
    <n v="3.637"/>
    <n v="10.798"/>
    <n v="4.741314"/>
    <n v="0.56000000000000005"/>
    <n v="11.950286999999999"/>
    <n v="42312499200"/>
  </r>
  <r>
    <n v="202"/>
    <s v="Walgreens Boots Alliance, Inc."/>
    <x v="75"/>
    <n v="4.7640000000000002E-2"/>
    <n v="7.8E-2"/>
    <n v="47.12"/>
    <n v="0.83099999999999996"/>
    <n v="2.649E-2"/>
    <n v="117.569"/>
    <n v="0.21708"/>
    <s v="WBA"/>
    <n v="0.61899999999999999"/>
    <n v="14.787000000000001"/>
    <n v="1.7411869"/>
    <n v="3.7"/>
    <n v="9.2392160000000008"/>
    <n v="40709087232"/>
  </r>
  <r>
    <n v="203"/>
    <s v="HP Inc."/>
    <x v="65"/>
    <n v="0.10242999999999999"/>
    <n v="9.2999999999999999E-2"/>
    <n v="39.840000000000003"/>
    <n v="0.76200000000000001"/>
    <n v="9.9110000000000004E-2"/>
    <n v="0"/>
    <m/>
    <s v="HPQ"/>
    <n v="0.71"/>
    <n v="6.8360000000000003"/>
    <m/>
    <n v="0.54"/>
    <n v="9.0958900000000007"/>
    <n v="43135565824"/>
  </r>
  <r>
    <n v="204"/>
    <s v="Kimberly-Clark Corporation"/>
    <x v="10"/>
    <n v="9.3310006000000001E-2"/>
    <n v="2.7E-2"/>
    <n v="120.28"/>
    <n v="0.82499999999999996"/>
    <n v="0.10050000000000001"/>
    <n v="1237.856"/>
    <n v="2.2963900000000002"/>
    <s v="KMB"/>
    <n v="2.6850000000000001"/>
    <n v="14.534000000000001"/>
    <n v="85.426130000000001"/>
    <n v="-24.22"/>
    <n v="17.81926"/>
    <n v="40500318208"/>
  </r>
  <r>
    <n v="205"/>
    <s v="MSCI Inc"/>
    <x v="29"/>
    <n v="0.35528999999999999"/>
    <n v="0.216"/>
    <n v="490.31"/>
    <n v="1.8169999999999999"/>
    <n v="0.14132"/>
    <n v="0"/>
    <m/>
    <s v="MSCI"/>
    <n v="26.73"/>
    <n v="46.688000000000002"/>
    <m/>
    <n v="3.07"/>
    <n v="43.973990000000001"/>
    <n v="40424443904"/>
  </r>
  <r>
    <n v="206"/>
    <s v="Williams Companies, Inc. (The)"/>
    <x v="73"/>
    <n v="0.10213"/>
    <n v="0.48"/>
    <n v="33.880000000000003"/>
    <n v="0.58399999999999996"/>
    <n v="3.3210002000000002E-2"/>
    <n v="160.65799999999999"/>
    <n v="7.3569999999999997E-2"/>
    <s v="WMB"/>
    <n v="5.798"/>
    <n v="13.590999999999999"/>
    <n v="3.6846116000000002"/>
    <n v="10.42"/>
    <n v="26.468751999999999"/>
    <n v="41165217792"/>
  </r>
  <r>
    <n v="207"/>
    <s v="AutoZone, Inc."/>
    <x v="60"/>
    <n v="0.15076000000000001"/>
    <n v="0.16300000000000001"/>
    <n v="2027.29"/>
    <n v="0.78500000000000003"/>
    <n v="0.13464000000000001"/>
    <n v="0"/>
    <m/>
    <s v="AZO"/>
    <n v="8.6329999999999991"/>
    <n v="36.883000000000003"/>
    <m/>
    <n v="1.41"/>
    <n v="17.356936000000001"/>
    <n v="41831915520"/>
  </r>
  <r>
    <n v="208"/>
    <s v="General Mills, Inc."/>
    <x v="58"/>
    <n v="0.12020001"/>
    <n v="6.5000000000000002E-2"/>
    <n v="67.39"/>
    <n v="0.84599999999999997"/>
    <n v="6.5240000000000006E-2"/>
    <n v="122.245"/>
    <n v="0.22722999999999999"/>
    <s v="GIS"/>
    <n v="2.8719999999999999"/>
    <n v="13.446"/>
    <n v="4.2678909999999997"/>
    <n v="3.89"/>
    <n v="17.191326"/>
    <n v="40650117120"/>
  </r>
  <r>
    <n v="209"/>
    <s v="Baker Hughes Company"/>
    <x v="52"/>
    <n v="6.8199999999999997E-3"/>
    <n v="8.9999999999999993E-3"/>
    <n v="38.72"/>
    <n v="1.5920000000000001"/>
    <n v="3.0259999999999999E-2"/>
    <n v="39.704000000000001"/>
    <n v="1.6629999999999999E-2"/>
    <s v="BKR"/>
    <n v="1.345"/>
    <n v="9.4849999999999994"/>
    <n v="2.3519408999999998"/>
    <n v="0.11"/>
    <n v="32"/>
    <n v="33685161984"/>
  </r>
  <r>
    <n v="210"/>
    <s v="Realty Income Corporation"/>
    <x v="66"/>
    <n v="0.17267999000000001"/>
    <n v="0.64100000000000001"/>
    <n v="67.95"/>
    <n v="0.42799999999999999"/>
    <n v="1.865E-2"/>
    <n v="61.451999999999998"/>
    <n v="1.9960001000000002E-2"/>
    <s v="O"/>
    <n v="26.004999999999999"/>
    <n v="30.908999999999999"/>
    <n v="2.0596526000000002"/>
    <n v="9.68"/>
    <n v="39.277453999999999"/>
    <n v="38443728896"/>
  </r>
  <r>
    <n v="211"/>
    <s v="Valero Energy Corporation"/>
    <x v="63"/>
    <n v="8.5800000000000008E-3"/>
    <n v="1.2490000000000001"/>
    <n v="97.25"/>
    <n v="1.256"/>
    <n v="2.5479999999999999E-2"/>
    <n v="76.322999999999993"/>
    <n v="6.5280000000000005E-2"/>
    <s v="VLO"/>
    <n v="0.439"/>
    <n v="10.362"/>
    <n v="2.2750134000000002"/>
    <n v="-4.1500000000000004"/>
    <n v="16.235393999999999"/>
    <n v="39759302656"/>
  </r>
  <r>
    <n v="212"/>
    <s v="Carrier Global Corporation"/>
    <x v="76"/>
    <n v="8.0719990000000005E-2"/>
    <n v="0.11700000000000001"/>
    <n v="46.39"/>
    <n v="1.7210000000000001"/>
    <n v="6.2609999999999999E-2"/>
    <n v="145.94"/>
    <n v="0.24882999"/>
    <s v="CARR"/>
    <n v="2.2679999999999998"/>
    <n v="16.085999999999999"/>
    <n v="5.8264256000000003"/>
    <n v="1.68"/>
    <n v="19.824787000000001"/>
    <n v="40200880128"/>
  </r>
  <r>
    <n v="213"/>
    <s v="DuPont de Nemours, Inc."/>
    <x v="26"/>
    <n v="0.29224001999999999"/>
    <n v="0.17699999999999999"/>
    <n v="77.09"/>
    <n v="2.0129999999999999"/>
    <n v="2.6530001000000001E-2"/>
    <n v="40.603000000000002"/>
    <n v="4.6420000000000003E-2"/>
    <s v="DD"/>
    <n v="2.3780000000000001"/>
    <n v="9.4320000000000004"/>
    <n v="1.4996594999999999"/>
    <n v="1.25"/>
    <n v="15.605262"/>
    <n v="39940636672"/>
  </r>
  <r>
    <n v="214"/>
    <s v="Baxter International Inc."/>
    <x v="38"/>
    <n v="9.7500000000000003E-2"/>
    <n v="8.5000000000000006E-2"/>
    <n v="77.209999999999994"/>
    <n v="2.3730000000000002"/>
    <n v="6.2119998000000003E-2"/>
    <n v="73.057000000000002"/>
    <n v="0.14055000000000001"/>
    <s v="BAX"/>
    <n v="3.7320000000000002"/>
    <n v="16.356000000000002"/>
    <n v="4.407718"/>
    <n v="2.1800000000000002"/>
    <n v="17.627853000000002"/>
    <n v="38658506752"/>
  </r>
  <r>
    <n v="215"/>
    <s v="Digital Realty Trust, Inc."/>
    <x v="77"/>
    <n v="0.38617000000000001"/>
    <n v="8.9999999999999993E-3"/>
    <n v="138.22999999999999"/>
    <n v="0.63100000000000001"/>
    <n v="1.308E-2"/>
    <n v="81.942999999999998"/>
    <n v="9.4420000000000004E-2"/>
    <s v="DLR"/>
    <n v="12.428000000000001"/>
    <n v="24.440999999999999"/>
    <n v="2.3718661999999999"/>
    <n v="2.77"/>
    <n v="89.18065"/>
    <n v="39227875328"/>
  </r>
  <r>
    <n v="216"/>
    <s v="Motorola Solutions, Inc."/>
    <x v="15"/>
    <n v="0.15459999999999999"/>
    <n v="0.128"/>
    <n v="232.4"/>
    <n v="1.381"/>
    <n v="0.10668000599999999"/>
    <n v="0"/>
    <m/>
    <s v="MSI"/>
    <n v="6.0590000000000002"/>
    <n v="21.468"/>
    <m/>
    <n v="2.0499999999999998"/>
    <n v="23.522265999999998"/>
    <n v="39251660800"/>
  </r>
  <r>
    <n v="217"/>
    <s v="Allstate Corporation (The)"/>
    <x v="41"/>
    <n v="3.1609999999999999E-2"/>
    <n v="0.187"/>
    <n v="141.80000000000001"/>
    <n v="0.436"/>
    <n v="3.8809999999999997E-2"/>
    <n v="33.600999999999999"/>
    <n v="0.18642998999999999"/>
    <s v="ALL"/>
    <n v="0.78400000000000003"/>
    <n v="4.9039999999999999"/>
    <n v="1.6494317999999999"/>
    <n v="-1.81"/>
    <n v="13.352166"/>
    <n v="40650657792"/>
  </r>
  <r>
    <n v="218"/>
    <s v="Xcel Energy Inc."/>
    <x v="25"/>
    <n v="0.12056"/>
    <n v="0.09"/>
    <n v="70.7"/>
    <n v="0.77800000000000002"/>
    <n v="2.4660000000000001E-2"/>
    <n v="163.63499999999999"/>
    <n v="0.10847"/>
    <s v="XEL"/>
    <n v="4.681"/>
    <n v="13.836"/>
    <n v="2.5093166999999998"/>
    <n v="3.34"/>
    <n v="22.302837"/>
    <n v="38084390912"/>
  </r>
  <r>
    <n v="219"/>
    <s v="Global Payments Inc."/>
    <x v="67"/>
    <n v="0.11376"/>
    <n v="0.14799999999999999"/>
    <n v="136.19"/>
    <n v="1.151"/>
    <n v="2.257E-2"/>
    <n v="43.173000000000002"/>
    <n v="3.5180000000000003E-2"/>
    <s v="GPN"/>
    <n v="6.2270000000000003"/>
    <n v="15.568"/>
    <n v="1.5109558000000001"/>
    <n v="0.88"/>
    <n v="14.201250999999999"/>
    <n v="39515668480"/>
  </r>
  <r>
    <n v="220"/>
    <s v="Transdigm Group Incorporated"/>
    <x v="27"/>
    <n v="0.16236999999999999"/>
    <n v="7.8E-2"/>
    <n v="675.53"/>
    <n v="5.0590000000000002"/>
    <n v="6.2670000000000003E-2"/>
    <n v="0"/>
    <m/>
    <s v="TDG"/>
    <n v="17.879000000000001"/>
    <n v="40.520000000000003"/>
    <m/>
    <n v="1.56"/>
    <n v="31.985323000000001"/>
    <n v="37322289152"/>
  </r>
  <r>
    <n v="221"/>
    <s v="Parker-Hannifin Corporation"/>
    <x v="37"/>
    <n v="0.1188"/>
    <n v="0.121"/>
    <n v="290.43"/>
    <n v="1.504"/>
    <n v="8.0010003999999996E-2"/>
    <n v="96.394999999999996"/>
    <n v="0.22874"/>
    <s v="PH"/>
    <n v="2.9510000000000001"/>
    <n v="13.718999999999999"/>
    <n v="4.3959250000000001"/>
    <n v="1.65"/>
    <n v="14.870967"/>
    <n v="37324611584"/>
  </r>
  <r>
    <n v="222"/>
    <s v="Old Dominion Freight Line, Inc."/>
    <x v="78"/>
    <n v="0.19679000999999999"/>
    <n v="0.314"/>
    <n v="313.76"/>
    <n v="2.9809999999999999"/>
    <n v="0.18926000000000001"/>
    <n v="5.51"/>
    <n v="0.29527999999999999"/>
    <s v="ODFL"/>
    <n v="6.5019999999999998"/>
    <n v="20.693999999999999"/>
    <n v="10.551875000000001"/>
    <n v="1.39"/>
    <n v="30.491741000000001"/>
    <n v="36085854208"/>
  </r>
  <r>
    <n v="223"/>
    <s v="Trane Technologies plc"/>
    <x v="37"/>
    <n v="9.8229999999999998E-2"/>
    <n v="6.4000000000000001E-2"/>
    <n v="155.58000000000001"/>
    <n v="1.621"/>
    <n v="6.8849999999999995E-2"/>
    <n v="74.62"/>
    <n v="0.21420998999999999"/>
    <s v="TT"/>
    <n v="3.524"/>
    <n v="21.68"/>
    <n v="5.7064260000000004"/>
    <n v="1.44"/>
    <n v="22.289397999999998"/>
    <n v="36956475392"/>
  </r>
  <r>
    <n v="224"/>
    <s v="Phillips 66"/>
    <x v="63"/>
    <n v="1.1809999999999999E-2"/>
    <n v="0.98899999999999999"/>
    <n v="83.85"/>
    <n v="1.1479999999999999"/>
    <n v="7.1700000000000002E-3"/>
    <n v="71.709999999999994"/>
    <n v="7.3860005000000006E-2"/>
    <s v="PSX"/>
    <n v="0.46500000000000002"/>
    <n v="23.893999999999998"/>
    <n v="2.0251667000000002"/>
    <n v="-1.7"/>
    <n v="12.169810999999999"/>
    <n v="36743237632"/>
  </r>
  <r>
    <n v="225"/>
    <s v="Electronic Arts Inc."/>
    <x v="50"/>
    <n v="0.122729994"/>
    <n v="0.58599999999999997"/>
    <n v="127.32"/>
    <n v="1.3149999999999999"/>
    <n v="5.7119999999999997E-2"/>
    <n v="27.94"/>
    <n v="9.8549990000000004E-2"/>
    <s v="EA"/>
    <n v="5.9509999999999996"/>
    <n v="26.805"/>
    <n v="4.5972200000000001"/>
    <n v="0.73"/>
    <n v="16.908365"/>
    <n v="36007112704"/>
  </r>
  <r>
    <n v="226"/>
    <s v="Dollar Tree, Inc."/>
    <x v="9"/>
    <n v="5.2929999999999998E-2"/>
    <n v="3.9E-2"/>
    <n v="156.41"/>
    <n v="1.252"/>
    <n v="5.8650000000000001E-2"/>
    <n v="134.864"/>
    <n v="0.19379999000000001"/>
    <s v="DLTR"/>
    <n v="1.5680000000000001"/>
    <n v="15.199"/>
    <n v="4.8556436999999999"/>
    <n v="1.7"/>
    <n v="20.938421000000002"/>
    <n v="35185369088"/>
  </r>
  <r>
    <n v="227"/>
    <s v="ResMed Inc."/>
    <x v="38"/>
    <n v="0.14923"/>
    <n v="0.20200000000000001"/>
    <n v="240.33"/>
    <n v="2.5409999999999999"/>
    <n v="0.12869"/>
    <n v="31.398"/>
    <n v="0.17519999999999999"/>
    <s v="RMD"/>
    <n v="10.57"/>
    <n v="32.973999999999997"/>
    <n v="11.572687"/>
    <n v="1.75"/>
    <n v="35.239001999999999"/>
    <n v="35021611008"/>
  </r>
  <r>
    <n v="228"/>
    <s v="LyondellBasell Industries NV"/>
    <x v="26"/>
    <n v="0.12149999"/>
    <n v="0.61599999999999999"/>
    <n v="107.69"/>
    <n v="1.69"/>
    <n v="0.12806000000000001"/>
    <n v="115.79900000000001"/>
    <n v="0.55903000000000003"/>
    <s v="LYB"/>
    <n v="0.94499999999999995"/>
    <n v="5.0670000000000002"/>
    <n v="3.0447570000000002"/>
    <n v="0.11"/>
    <n v="7.0802107000000003"/>
    <n v="35837509632"/>
  </r>
  <r>
    <n v="229"/>
    <s v="SBA Communications Corporation"/>
    <x v="36"/>
    <n v="0.13091"/>
    <n v="0.127"/>
    <n v="328.99"/>
    <n v="0.68200000000000005"/>
    <n v="5.203E-2"/>
    <n v="0"/>
    <m/>
    <s v="SBAC"/>
    <n v="21.956"/>
    <n v="33.17"/>
    <m/>
    <n v="0.8"/>
    <n v="82.660804999999996"/>
    <n v="35787862016"/>
  </r>
  <r>
    <n v="230"/>
    <s v="Arthur J. Gallagher &amp; Co."/>
    <x v="44"/>
    <n v="0.12168"/>
    <n v="0.16500000000000001"/>
    <n v="168.06"/>
    <n v="1.298"/>
    <n v="3.5560000000000001E-2"/>
    <n v="68.385999999999996"/>
    <n v="0.13818"/>
    <s v="AJG"/>
    <n v="4.8970000000000002"/>
    <n v="20.027999999999999"/>
    <n v="4.1370649999999998"/>
    <n v="2.5299999999999998"/>
    <n v="28.150755"/>
    <n v="34835140608"/>
  </r>
  <r>
    <n v="231"/>
    <s v="Yum! Brands, Inc."/>
    <x v="23"/>
    <n v="0.23922001000000001"/>
    <n v="8.4000000000000005E-2"/>
    <n v="119.62"/>
    <n v="1.083"/>
    <n v="0.22603000000000001"/>
    <n v="0"/>
    <m/>
    <s v="YUM"/>
    <n v="6.9930000000000003"/>
    <n v="20.010000000000002"/>
    <m/>
    <n v="1.98"/>
    <n v="24.165659000000002"/>
    <n v="35064569856"/>
  </r>
  <r>
    <n v="232"/>
    <s v="Ameriprise Financial, Inc."/>
    <x v="35"/>
    <n v="0.20530999999999999"/>
    <n v="0.18"/>
    <n v="314.63"/>
    <n v="3.2189999999999999"/>
    <n v="1.5299999999999999E-2"/>
    <n v="67.563999999999993"/>
    <n v="0.47783999999999999"/>
    <s v="AMP"/>
    <n v="2.0550000000000002"/>
    <n v="6.45"/>
    <n v="6.1965529999999998"/>
    <n v="0.56999999999999995"/>
    <n v="12.769075000000001"/>
    <n v="35203952640"/>
  </r>
  <r>
    <n v="233"/>
    <s v="Align Technology, Inc."/>
    <x v="20"/>
    <n v="0.19531999999999999"/>
    <n v="0.23599999999999999"/>
    <n v="430.44"/>
    <n v="1.296"/>
    <n v="0.11330999999999999"/>
    <n v="2.8340000000000001"/>
    <n v="0.22518998000000001"/>
    <s v="ALGN"/>
    <n v="9.8049999999999997"/>
    <n v="35.819000000000003"/>
    <n v="9.6511209999999998"/>
    <n v="1.3"/>
    <n v="32.074516000000003"/>
    <n v="33941530624"/>
  </r>
  <r>
    <n v="234"/>
    <s v="AvalonBay Communities, Inc."/>
    <x v="79"/>
    <n v="0.44369999999999998"/>
    <n v="2.5999999999999999E-2"/>
    <n v="247.24"/>
    <n v="1.0449999999999999"/>
    <n v="1.983E-2"/>
    <n v="73.709000000000003"/>
    <n v="9.4130000000000005E-2"/>
    <s v="AVB"/>
    <n v="18.984999999999999"/>
    <n v="31.969000000000001"/>
    <n v="3.195058"/>
    <n v="17.38"/>
    <n v="63.071429999999999"/>
    <n v="34549563392"/>
  </r>
  <r>
    <n v="236"/>
    <s v="Public Service Enterprise Group"/>
    <x v="57"/>
    <n v="-7.2999999999999995E-2"/>
    <n v="-0.19700000000000001"/>
    <n v="68.31"/>
    <n v="0.84099999999999997"/>
    <n v="2.034E-2"/>
    <n v="141.98599999999999"/>
    <n v="-4.4269999999999997E-2"/>
    <s v="PEG"/>
    <n v="5.6829999999999998"/>
    <n v="16.792000000000002"/>
    <n v="2.4470713000000002"/>
    <n v="5.44"/>
    <n v="19.685879"/>
    <n v="34541907968"/>
  </r>
  <r>
    <n v="237"/>
    <s v="T. Rowe Price Group, Inc."/>
    <x v="35"/>
    <n v="0.40183996999999999"/>
    <n v="0.13200000000000001"/>
    <n v="148.91999999999999"/>
    <n v="1.569"/>
    <n v="0.20188998999999999"/>
    <n v="3.5369999999999999"/>
    <n v="0.31742999999999999"/>
    <s v="TROW"/>
    <n v="4.1340000000000003"/>
    <n v="8.0370000000000008"/>
    <n v="4.0774306999999999"/>
    <n v="1.26"/>
    <n v="11.155056"/>
    <n v="34132166656"/>
  </r>
  <r>
    <n v="238"/>
    <s v="Halliburton Company"/>
    <x v="52"/>
    <n v="2.792E-2"/>
    <n v="0.29699999999999999"/>
    <n v="38.9"/>
    <n v="2.39"/>
    <n v="4.335E-2"/>
    <n v="180.941"/>
    <n v="7.5990000000000002E-2"/>
    <s v="HAL"/>
    <n v="2.1360000000000001"/>
    <n v="12.927"/>
    <n v="6.1211650000000004"/>
    <n v="0.4"/>
    <n v="22.882352999999998"/>
    <n v="34820014080"/>
  </r>
  <r>
    <n v="239"/>
    <s v="eBay Inc."/>
    <x v="3"/>
    <n v="1.0704899999999999"/>
    <n v="0.108"/>
    <n v="57.42"/>
    <n v="3.3530000000000002"/>
    <n v="7.7030000000000001E-2"/>
    <n v="85.034000000000006"/>
    <n v="0.28445998"/>
    <s v="EBAY"/>
    <n v="3.0110000000000001"/>
    <n v="10.106"/>
    <n v="3.3208025000000001"/>
    <n v="1.31"/>
    <n v="12.70354"/>
    <n v="35945148416"/>
  </r>
  <r>
    <n v="240"/>
    <s v="Verisk Analytics, Inc."/>
    <x v="80"/>
    <n v="0.23777999999999999"/>
    <n v="0.08"/>
    <n v="208"/>
    <n v="0.50700000000000001"/>
    <n v="8.9020009999999997E-2"/>
    <n v="124.735"/>
    <n v="0.27184999999999998"/>
    <s v="VRSK"/>
    <n v="13.19"/>
    <n v="29.448"/>
    <n v="12.369172000000001"/>
    <n v="4.32"/>
    <n v="34.782608000000003"/>
    <n v="335214858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">
  <r>
    <s v="Verizon Communications Inc."/>
    <s v="VZ"/>
    <x v="0"/>
    <n v="0.16419001"/>
    <n v="6.9526670100000007E-2"/>
    <n v="9.466333989999999E-2"/>
    <n v="1"/>
    <n v="4.2999999999999997E-2"/>
    <n v="2.6666666666666644E-3"/>
    <n v="4.0333333333333332E-2"/>
    <n v="1"/>
    <n v="0.97399999999999998"/>
    <n v="0.85466666666666669"/>
    <n v="0.11933333333333329"/>
    <n v="1"/>
    <n v="6.5229999999999996E-2"/>
    <n v="4.439333333333334E-2"/>
    <n v="2.0836666666666656E-2"/>
    <n v="1"/>
    <n v="228.03800000000001"/>
    <n v="167.02766666666668"/>
    <n v="61.010333333333335"/>
    <n v="1"/>
    <n v="0.31167"/>
    <n v="0.12344333333333335"/>
    <n v="0.18822666666666665"/>
    <n v="1"/>
    <n v="6"/>
    <n v="1"/>
    <s v="Excellent"/>
  </r>
  <r>
    <s v="Illinois Tool Works Inc."/>
    <s v="ITW"/>
    <x v="1"/>
    <n v="0.19134999999999999"/>
    <n v="0.12041000057142859"/>
    <n v="7.0939999428571404E-2"/>
    <n v="1"/>
    <n v="7.4999999999999997E-2"/>
    <n v="7.0857142857142855E-2"/>
    <n v="4.1428571428571426E-3"/>
    <n v="1"/>
    <n v="2.1949999999999998"/>
    <n v="1.4689999999999999"/>
    <n v="0.72599999999999998"/>
    <n v="1"/>
    <n v="0.14562"/>
    <n v="6.6908572285714271E-2"/>
    <n v="7.8711427714285728E-2"/>
    <n v="1"/>
    <n v="216.17500000000001"/>
    <n v="107.70214285714285"/>
    <n v="108.47285714285717"/>
    <n v="1"/>
    <n v="0.88109999999999999"/>
    <n v="0.26455856971428571"/>
    <n v="0.61654143028571429"/>
    <n v="1"/>
    <n v="6"/>
    <n v="1"/>
    <s v="Excellent"/>
  </r>
  <r>
    <s v="Public Storage"/>
    <s v="PSA"/>
    <x v="2"/>
    <n v="0.50629000000000002"/>
    <n v="0.454235"/>
    <n v="5.2055000000000018E-2"/>
    <n v="1"/>
    <n v="0.22800000000000001"/>
    <n v="0.16500000000000001"/>
    <n v="6.3E-2"/>
    <n v="1"/>
    <n v="2.0750000000000002"/>
    <n v="1.4615"/>
    <n v="0.61350000000000016"/>
    <n v="1"/>
    <n v="7.9799999999999996E-2"/>
    <n v="4.9790000000000001E-2"/>
    <n v="3.0009999999999995E-2"/>
    <n v="1"/>
    <n v="63.881999999999998"/>
    <n v="55.820499999999996"/>
    <n v="8.0615000000000023"/>
    <n v="1"/>
    <n v="0.19327"/>
    <n v="0.12606500000000001"/>
    <n v="6.7204999999999987E-2"/>
    <n v="1"/>
    <n v="6"/>
    <n v="1"/>
    <s v="Excellent"/>
  </r>
  <r>
    <s v="Microsoft Corporation"/>
    <s v="MSFT"/>
    <x v="3"/>
    <n v="0.38498001999999998"/>
    <n v="0.26349400199999995"/>
    <n v="0.12148601800000003"/>
    <n v="1"/>
    <n v="0.20100000000000001"/>
    <n v="0.2198"/>
    <n v="-1.8799999999999983E-2"/>
    <n v="0"/>
    <n v="2.2469999999999999"/>
    <n v="1.6274000000000002"/>
    <n v="0.61959999999999971"/>
    <n v="1"/>
    <n v="0.15248998999999999"/>
    <n v="0.10721799800000001"/>
    <n v="4.5271991999999983E-2"/>
    <n v="1"/>
    <n v="50.216999999999999"/>
    <n v="37.377800000000001"/>
    <n v="12.839199999999998"/>
    <n v="1"/>
    <n v="0.49051"/>
    <n v="0.40269748999999999"/>
    <n v="8.781251000000001E-2"/>
    <n v="1"/>
    <n v="5"/>
    <n v="0.83333333333333337"/>
    <s v="Strong"/>
  </r>
  <r>
    <s v="NVIDIA Corporation"/>
    <s v="NVDA"/>
    <x v="4"/>
    <n v="0.33806000000000003"/>
    <n v="0.24659300000000001"/>
    <n v="9.1467000000000021E-2"/>
    <n v="1"/>
    <n v="0.503"/>
    <n v="0.30759999999999998"/>
    <n v="0.19540000000000002"/>
    <n v="1"/>
    <n v="7.1449999999999996"/>
    <n v="2.9108000000000001"/>
    <n v="4.2341999999999995"/>
    <n v="1"/>
    <n v="0.15934000000000001"/>
    <n v="0.1215560017"/>
    <n v="3.778399830000001E-2"/>
    <n v="1"/>
    <n v="49.697000000000003"/>
    <n v="77.073399999999992"/>
    <n v="-27.37639999999999"/>
    <n v="0"/>
    <n v="0.41939998000000001"/>
    <n v="0.37541199820000004"/>
    <n v="4.3987981799999964E-2"/>
    <n v="1"/>
    <n v="5"/>
    <n v="0.83333333333333337"/>
    <s v="Strong"/>
  </r>
  <r>
    <s v="Mastercard Incorporated"/>
    <s v="MA"/>
    <x v="5"/>
    <n v="0.46001998"/>
    <n v="0.39226666333333338"/>
    <n v="6.7753316666666619E-2"/>
    <n v="1"/>
    <n v="0.26600000000000001"/>
    <n v="0.21299999999999999"/>
    <n v="5.3000000000000019E-2"/>
    <n v="1"/>
    <n v="1.288"/>
    <n v="1.327"/>
    <n v="-3.8999999999999924E-2"/>
    <n v="0"/>
    <n v="0.18013000000000001"/>
    <n v="0.11619666766666666"/>
    <n v="6.3933332333333356E-2"/>
    <n v="1"/>
    <n v="197.96299999999999"/>
    <n v="99.888333333333321"/>
    <n v="98.074666666666673"/>
    <n v="1"/>
    <n v="1.2473301000000001"/>
    <n v="0.61539335666666661"/>
    <n v="0.63193674333333349"/>
    <n v="1"/>
    <n v="5"/>
    <n v="0.83333333333333337"/>
    <s v="Strong"/>
  </r>
  <r>
    <s v="Home Depot, Inc. (The)"/>
    <s v="HD"/>
    <x v="6"/>
    <n v="0.10791001"/>
    <n v="9.7080004999999997E-2"/>
    <n v="1.0830005000000004E-2"/>
    <n v="1"/>
    <n v="9.8000000000000004E-2"/>
    <n v="6.25E-2"/>
    <n v="3.5500000000000004E-2"/>
    <n v="1"/>
    <n v="1.1319999999999999"/>
    <n v="1.1625000000000001"/>
    <n v="-3.0500000000000194E-2"/>
    <n v="0"/>
    <n v="0.20454"/>
    <n v="0.18337500000000001"/>
    <n v="2.1164999999999989E-2"/>
    <n v="1"/>
    <n v="4373.43"/>
    <n v="2186.7150000000001"/>
    <n v="2186.7150000000001"/>
    <n v="1"/>
    <n v="12.4031105"/>
    <n v="9.4907002499999997"/>
    <n v="2.9124102500000006"/>
    <n v="1"/>
    <n v="5"/>
    <n v="0.83333333333333337"/>
    <s v="Strong"/>
  </r>
  <r>
    <s v="Accenture plc"/>
    <s v="ACN"/>
    <x v="7"/>
    <n v="0.11533"/>
    <n v="8.1440000400000018E-2"/>
    <n v="3.3889999599999984E-2"/>
    <n v="1"/>
    <n v="0.27200000000000002"/>
    <n v="0.12479999999999999"/>
    <n v="0.14720000000000003"/>
    <n v="1"/>
    <n v="1.2230000000000001"/>
    <n v="1.1856"/>
    <n v="3.74000000000001E-2"/>
    <n v="1"/>
    <n v="0.124560006"/>
    <n v="5.8694001199999998E-2"/>
    <n v="6.5866004800000003E-2"/>
    <n v="1"/>
    <n v="16.606999999999999"/>
    <n v="80.509399999999999"/>
    <n v="-63.9024"/>
    <n v="0"/>
    <n v="0.31947999999999999"/>
    <n v="0.15423999999999999"/>
    <n v="0.16524"/>
    <n v="1"/>
    <n v="5"/>
    <n v="0.83333333333333337"/>
    <s v="Strong"/>
  </r>
  <r>
    <s v="Anthem, Inc."/>
    <s v="ANTM"/>
    <x v="8"/>
    <n v="4.1220001999999999E-2"/>
    <n v="3.6041667333333326E-2"/>
    <n v="5.178334666666673E-3"/>
    <n v="1"/>
    <n v="0.15"/>
    <n v="0.11366666666666668"/>
    <n v="3.6333333333333315E-2"/>
    <n v="1"/>
    <n v="1.476"/>
    <n v="1.1100000000000001"/>
    <n v="0.36599999999999988"/>
    <n v="1"/>
    <n v="5.3710000000000001E-2"/>
    <n v="4.6496666166666666E-2"/>
    <n v="7.2133338333333352E-3"/>
    <n v="1"/>
    <n v="66.275999999999996"/>
    <n v="78.132333333333335"/>
    <n v="-11.856333333333339"/>
    <n v="0"/>
    <n v="0.15834999999999999"/>
    <n v="0.14621000233333331"/>
    <n v="1.213999766666668E-2"/>
    <n v="1"/>
    <n v="5"/>
    <n v="0.83333333333333337"/>
    <s v="Strong"/>
  </r>
  <r>
    <s v="Lockheed Martin Corporation"/>
    <s v="LMT"/>
    <x v="9"/>
    <n v="9.4189993999999999E-2"/>
    <n v="8.6845711000000006E-2"/>
    <n v="7.3442829999999931E-3"/>
    <n v="1"/>
    <n v="4.1000000000000002E-2"/>
    <n v="-5.5714285714285701E-3"/>
    <n v="4.6571428571428569E-2"/>
    <n v="1"/>
    <n v="1.4159999999999999"/>
    <n v="1.9000000000000001"/>
    <n v="-0.48400000000000021"/>
    <n v="0"/>
    <n v="9.6240000000000006E-2"/>
    <n v="5.5819999142857138E-2"/>
    <n v="4.0420000857142868E-2"/>
    <n v="1"/>
    <n v="119.55500000000001"/>
    <n v="56.095714285714287"/>
    <n v="63.45928571428572"/>
    <n v="1"/>
    <n v="0.74307000000000001"/>
    <n v="0.33201799800000004"/>
    <n v="0.41105200199999997"/>
    <n v="1"/>
    <n v="5"/>
    <n v="0.83333333333333337"/>
    <s v="Strong"/>
  </r>
  <r>
    <s v="American Tower Corporation (REI"/>
    <s v="AMT"/>
    <x v="10"/>
    <n v="0.27445000000000003"/>
    <n v="0.16090750249999999"/>
    <n v="0.11354249750000003"/>
    <n v="1"/>
    <n v="0.219"/>
    <n v="0.14150000000000001"/>
    <n v="7.7499999999999986E-2"/>
    <n v="1"/>
    <n v="0.77300000000000002"/>
    <n v="0.92549999999999988"/>
    <n v="-0.15249999999999986"/>
    <n v="0"/>
    <n v="4.3479999999999998E-2"/>
    <n v="3.8689999999999995E-2"/>
    <n v="4.7900000000000026E-3"/>
    <n v="1"/>
    <n v="434.983"/>
    <n v="226.1405"/>
    <n v="208.8425"/>
    <n v="1"/>
    <n v="0.34477999999999998"/>
    <n v="0.17198999999999998"/>
    <n v="0.17279"/>
    <n v="1"/>
    <n v="5"/>
    <n v="0.83333333333333337"/>
    <s v="Strong"/>
  </r>
  <r>
    <s v="Intuitive Surgical, Inc."/>
    <s v="ISRG"/>
    <x v="11"/>
    <n v="0.29852000000000001"/>
    <n v="0.16214249875"/>
    <n v="0.13637750125000001"/>
    <n v="1"/>
    <n v="0.16700000000000001"/>
    <n v="0.13175000000000001"/>
    <n v="3.5250000000000004E-2"/>
    <n v="1"/>
    <n v="5.0830000000000002"/>
    <n v="2.8327499999999999"/>
    <n v="2.2502500000000003"/>
    <n v="1"/>
    <n v="9.2069999999999999E-2"/>
    <n v="8.047999950000001E-2"/>
    <n v="1.1590000499999989E-2"/>
    <n v="1"/>
    <n v="0.72799999999999998"/>
    <n v="45.386000000000003"/>
    <n v="-44.658000000000001"/>
    <n v="0"/>
    <n v="0.15919"/>
    <n v="0.140782501"/>
    <n v="1.8407498999999994E-2"/>
    <n v="1"/>
    <n v="5"/>
    <n v="0.83333333333333337"/>
    <s v="Strong"/>
  </r>
  <r>
    <s v="3M Company"/>
    <s v="MMM"/>
    <x v="12"/>
    <n v="0.16764000000000001"/>
    <n v="0.16283"/>
    <n v="4.8100000000000087E-3"/>
    <n v="1"/>
    <n v="7.0999999999999994E-2"/>
    <n v="7.8999999999999987E-2"/>
    <n v="-7.9999999999999932E-3"/>
    <n v="0"/>
    <n v="1.7050000000000001"/>
    <n v="1.4965000000000002"/>
    <n v="0.20849999999999991"/>
    <n v="1"/>
    <n v="0.10945000000000001"/>
    <n v="9.1655002499999999E-2"/>
    <n v="1.7794997500000007E-2"/>
    <n v="1"/>
    <n v="130.81200000000001"/>
    <n v="126.82900000000001"/>
    <n v="3.9830000000000041"/>
    <n v="1"/>
    <n v="0.44799998000000002"/>
    <n v="0.37621999"/>
    <n v="7.1779990000000016E-2"/>
    <n v="1"/>
    <n v="5"/>
    <n v="0.83333333333333337"/>
    <s v="Strong"/>
  </r>
  <r>
    <s v="Marsh &amp; McLennan Companies, Inc"/>
    <s v="MMC"/>
    <x v="13"/>
    <n v="0.15858"/>
    <n v="0.11870000133333335"/>
    <n v="3.9879998666666652E-2"/>
    <n v="1"/>
    <n v="0.16300000000000001"/>
    <n v="0.1536666666666667"/>
    <n v="9.3333333333333046E-3"/>
    <n v="1"/>
    <n v="1.242"/>
    <n v="1.2033333333333334"/>
    <n v="3.8666666666666627E-2"/>
    <n v="1"/>
    <n v="8.8080000000000006E-2"/>
    <n v="5.4233333333333335E-2"/>
    <n v="3.3846666666666671E-2"/>
    <n v="1"/>
    <n v="117.28700000000001"/>
    <n v="199.41466666666668"/>
    <n v="-82.12766666666667"/>
    <n v="0"/>
    <n v="0.30992999999999998"/>
    <n v="0.25839666666666666"/>
    <n v="5.153333333333332E-2"/>
    <n v="1"/>
    <n v="5"/>
    <n v="0.83333333333333337"/>
    <s v="Strong"/>
  </r>
  <r>
    <s v="Lam Research Corporation"/>
    <s v="LRCX"/>
    <x v="14"/>
    <n v="0.27072000000000002"/>
    <n v="0.29708666666666667"/>
    <n v="-2.6366666666666649E-2"/>
    <n v="0"/>
    <n v="0.35499999999999998"/>
    <n v="0.33833333333333337"/>
    <n v="1.6666666666666607E-2"/>
    <n v="1"/>
    <n v="3.2690000000000001"/>
    <n v="2.7476666666666669"/>
    <n v="0.5213333333333332"/>
    <n v="1"/>
    <n v="0.19974001"/>
    <n v="0.18592000333333333"/>
    <n v="1.3820006666666662E-2"/>
    <n v="1"/>
    <n v="85.83"/>
    <n v="74.865666666666669"/>
    <n v="10.964333333333329"/>
    <n v="1"/>
    <n v="0.75890000000000002"/>
    <n v="0.69937335000000012"/>
    <n v="5.9526649999999903E-2"/>
    <n v="1"/>
    <n v="5"/>
    <n v="0.83333333333333337"/>
    <s v="Strong"/>
  </r>
  <r>
    <s v="Waste Management, Inc."/>
    <s v="WM"/>
    <x v="15"/>
    <n v="0.10092"/>
    <n v="0.107585002"/>
    <n v="-6.6650020000000032E-3"/>
    <n v="0"/>
    <n v="0.20799999999999999"/>
    <n v="0.17799999999999999"/>
    <n v="0.03"/>
    <n v="1"/>
    <n v="0.77600000000000002"/>
    <n v="0.74199999999999999"/>
    <n v="3.400000000000003E-2"/>
    <n v="1"/>
    <n v="7.0110000000000006E-2"/>
    <n v="6.2375001499999999E-2"/>
    <n v="7.7349985000000065E-3"/>
    <n v="1"/>
    <n v="181.86500000000001"/>
    <n v="145.95850000000002"/>
    <n v="35.906499999999994"/>
    <n v="1"/>
    <n v="0.24409"/>
    <n v="0.19602499500000001"/>
    <n v="4.8065004999999994E-2"/>
    <n v="1"/>
    <n v="5"/>
    <n v="0.83333333333333337"/>
    <s v="Strong"/>
  </r>
  <r>
    <s v="Dollar General Corporation"/>
    <s v="DG"/>
    <x v="16"/>
    <n v="7.1929999999999994E-2"/>
    <n v="4.7955999999999999E-2"/>
    <n v="2.3973999999999995E-2"/>
    <n v="1"/>
    <n v="3.9E-2"/>
    <n v="7.6399999999999996E-2"/>
    <n v="-3.7399999999999996E-2"/>
    <n v="0"/>
    <n v="1.077"/>
    <n v="1.0478000000000001"/>
    <n v="2.9199999999999893E-2"/>
    <n v="1"/>
    <n v="7.918E-2"/>
    <n v="7.6300002000000006E-2"/>
    <n v="2.8799979999999947E-3"/>
    <n v="1"/>
    <n v="227.684"/>
    <n v="118.09080000000002"/>
    <n v="109.59319999999998"/>
    <n v="1"/>
    <n v="0.37108000000000002"/>
    <n v="0.30520200399999997"/>
    <n v="6.587799600000005E-2"/>
    <n v="1"/>
    <n v="5"/>
    <n v="0.83333333333333337"/>
    <s v="Strong"/>
  </r>
  <r>
    <s v="American Electric Power Company"/>
    <s v="AEP"/>
    <x v="17"/>
    <n v="0.14593"/>
    <n v="0.13919999833333332"/>
    <n v="6.7300016666666795E-3"/>
    <n v="1"/>
    <n v="0.13700000000000001"/>
    <n v="3.0333333333333337E-2"/>
    <n v="0.10666666666666667"/>
    <n v="1"/>
    <n v="0.58099999999999996"/>
    <n v="0.65966666666666662"/>
    <n v="-7.8666666666666663E-2"/>
    <n v="0"/>
    <n v="2.5880001E-2"/>
    <n v="2.127833375E-2"/>
    <n v="4.6016672500000001E-3"/>
    <n v="1"/>
    <n v="168.28899999999999"/>
    <n v="151.27916666666667"/>
    <n v="17.009833333333319"/>
    <n v="1"/>
    <n v="0.11047999999999999"/>
    <n v="8.0088333333333345E-2"/>
    <n v="3.039166666666665E-2"/>
    <n v="1"/>
    <n v="5"/>
    <n v="0.83333333333333337"/>
    <s v="Strong"/>
  </r>
  <r>
    <s v="Cognizant Technology Solutions "/>
    <s v="CTSH"/>
    <x v="7"/>
    <n v="0.11547"/>
    <n v="8.1440000400000018E-2"/>
    <n v="3.4029999599999985E-2"/>
    <n v="1"/>
    <n v="0.14199999999999999"/>
    <n v="0.12479999999999999"/>
    <n v="1.7199999999999993E-2"/>
    <n v="1"/>
    <n v="2.08"/>
    <n v="1.1856"/>
    <n v="0.89440000000000008"/>
    <n v="1"/>
    <n v="0.1009"/>
    <n v="5.8694001199999998E-2"/>
    <n v="4.2205998800000005E-2"/>
    <n v="1"/>
    <n v="13.802"/>
    <n v="80.509399999999999"/>
    <n v="-66.707400000000007"/>
    <n v="0"/>
    <n v="0.18722999000000001"/>
    <n v="0.15423999999999999"/>
    <n v="3.2989990000000025E-2"/>
    <n v="1"/>
    <n v="5"/>
    <n v="0.83333333333333337"/>
    <s v="Strong"/>
  </r>
  <r>
    <s v="DexCom, Inc."/>
    <s v="DXCM"/>
    <x v="18"/>
    <n v="0.22822999999999999"/>
    <n v="0.17781714214285715"/>
    <n v="5.0412857857142834E-2"/>
    <n v="1"/>
    <n v="0.29799999999999999"/>
    <n v="0.16085714285714284"/>
    <n v="0.13714285714285715"/>
    <n v="1"/>
    <n v="4.9749999999999996"/>
    <n v="2.5379999999999998"/>
    <n v="2.4369999999999998"/>
    <n v="1"/>
    <n v="5.3609999999999998E-2"/>
    <n v="7.492714242857143E-2"/>
    <n v="-2.1317142428571433E-2"/>
    <n v="0"/>
    <n v="88.174999999999997"/>
    <n v="50.663714285714285"/>
    <n v="37.511285714285712"/>
    <n v="1"/>
    <n v="0.29119"/>
    <n v="0.18974000000000002"/>
    <n v="0.10144999999999998"/>
    <n v="1"/>
    <n v="5"/>
    <n v="0.83333333333333337"/>
    <s v="Strong"/>
  </r>
  <r>
    <s v="Amphenol Corporation"/>
    <s v="APH"/>
    <x v="19"/>
    <n v="0.14626001"/>
    <n v="0.15349000499999998"/>
    <n v="-7.2299949999999891E-3"/>
    <n v="0"/>
    <n v="0.248"/>
    <n v="0.16600000000000001"/>
    <n v="8.199999999999999E-2"/>
    <n v="1"/>
    <n v="2.4350000000000001"/>
    <n v="2.0649999999999999"/>
    <n v="0.37000000000000011"/>
    <n v="1"/>
    <n v="0.10037"/>
    <n v="9.2054997999999999E-2"/>
    <n v="8.3150020000000019E-3"/>
    <n v="1"/>
    <n v="79.179000000000002"/>
    <n v="57.782499999999999"/>
    <n v="21.396500000000003"/>
    <n v="1"/>
    <n v="0.26711000000000001"/>
    <n v="0.24948999999999999"/>
    <n v="1.7620000000000025E-2"/>
    <n v="1"/>
    <n v="5"/>
    <n v="0.83333333333333337"/>
    <s v="Strong"/>
  </r>
  <r>
    <s v="The Hershey Company"/>
    <s v="HSY"/>
    <x v="20"/>
    <n v="0.16469"/>
    <n v="0.160855"/>
    <n v="3.8350000000000051E-3"/>
    <n v="1"/>
    <n v="6.4000000000000001E-2"/>
    <n v="7.1000000000000008E-2"/>
    <n v="-7.0000000000000062E-3"/>
    <n v="0"/>
    <n v="0.90100000000000002"/>
    <n v="0.81699999999999995"/>
    <n v="8.4000000000000075E-2"/>
    <n v="1"/>
    <n v="0.13102000999999999"/>
    <n v="8.9150006000000004E-2"/>
    <n v="4.1870003999999988E-2"/>
    <n v="1"/>
    <n v="194.98099999999999"/>
    <n v="134.4075"/>
    <n v="60.573499999999996"/>
    <n v="1"/>
    <n v="0.59370999999999996"/>
    <n v="0.37841499999999995"/>
    <n v="0.21529500000000001"/>
    <n v="1"/>
    <n v="5"/>
    <n v="0.83333333333333337"/>
    <s v="Strong"/>
  </r>
  <r>
    <s v="Exelon Corporation"/>
    <s v="EXC"/>
    <x v="21"/>
    <n v="4.8060004000000003E-2"/>
    <n v="2.3503334666666667E-2"/>
    <n v="2.4556669333333336E-2"/>
    <n v="1"/>
    <n v="6.0000000000000001E-3"/>
    <n v="-1.6999999999999998E-2"/>
    <n v="2.3E-2"/>
    <n v="1"/>
    <n v="0.94"/>
    <n v="0.71200000000000008"/>
    <n v="0.22799999999999987"/>
    <n v="1"/>
    <n v="2.479E-2"/>
    <n v="2.2789999333333335E-2"/>
    <n v="2.0000006666666646E-3"/>
    <n v="1"/>
    <n v="121.723"/>
    <n v="123.89433333333334"/>
    <n v="-2.1713333333333367"/>
    <n v="0"/>
    <n v="5.4089999999999999E-2"/>
    <n v="1.920666666666667E-2"/>
    <n v="3.4883333333333329E-2"/>
    <n v="1"/>
    <n v="5"/>
    <n v="0.83333333333333337"/>
    <s v="Strong"/>
  </r>
  <r>
    <s v="Arista Networks, Inc."/>
    <s v="ANET"/>
    <x v="22"/>
    <n v="0.28300999999999998"/>
    <n v="0.19272"/>
    <n v="9.0289999999999981E-2"/>
    <n v="1"/>
    <n v="0.23699999999999999"/>
    <n v="0.16499999999999998"/>
    <n v="7.2000000000000008E-2"/>
    <n v="1"/>
    <n v="5.0640000000000001"/>
    <n v="2.9130000000000003"/>
    <n v="2.1509999999999998"/>
    <n v="1"/>
    <n v="0.10855999600000001"/>
    <n v="0.10383499800000001"/>
    <n v="4.7249979999999941E-3"/>
    <n v="1"/>
    <n v="1.5940000000000001"/>
    <n v="0.79700000000000004"/>
    <n v="0.79700000000000004"/>
    <n v="1"/>
    <n v="0.22579001000000001"/>
    <n v="0.22579001000000001"/>
    <n v="0"/>
    <n v="0"/>
    <n v="5"/>
    <n v="0.83333333333333337"/>
    <s v="Strong"/>
  </r>
  <r>
    <s v="Cintas Corporation"/>
    <s v="CTAS"/>
    <x v="23"/>
    <n v="0.155"/>
    <n v="0.13438"/>
    <n v="2.0619999999999999E-2"/>
    <n v="1"/>
    <n v="9.4E-2"/>
    <n v="0.121"/>
    <n v="-2.6999999999999996E-2"/>
    <n v="0"/>
    <n v="1.2190000000000001"/>
    <n v="1.1850000000000001"/>
    <n v="3.400000000000003E-2"/>
    <n v="1"/>
    <n v="0.111049995"/>
    <n v="6.6809997499999996E-2"/>
    <n v="4.4239997500000003E-2"/>
    <n v="1"/>
    <n v="73.584999999999994"/>
    <n v="58.378999999999998"/>
    <n v="15.205999999999996"/>
    <n v="1"/>
    <n v="0.32173002000000001"/>
    <n v="0.17845501"/>
    <n v="0.14327501000000001"/>
    <n v="1"/>
    <n v="5"/>
    <n v="0.83333333333333337"/>
    <s v="Strong"/>
  </r>
  <r>
    <s v="Devon Energy Corporation"/>
    <s v="DVN"/>
    <x v="24"/>
    <n v="0.11572"/>
    <n v="0.11456799980000001"/>
    <n v="1.152000199999989E-3"/>
    <n v="1"/>
    <n v="2.141"/>
    <n v="1.5185999999999999"/>
    <n v="0.62240000000000006"/>
    <n v="1"/>
    <n v="1.206"/>
    <n v="1.4501999999999999"/>
    <n v="-0.24419999999999997"/>
    <n v="0"/>
    <n v="0.17560999999999999"/>
    <n v="9.155399979999998E-2"/>
    <n v="8.4056000200000008E-2"/>
    <n v="1"/>
    <n v="74.781999999999996"/>
    <n v="71.088200000000001"/>
    <n v="3.693799999999996"/>
    <n v="1"/>
    <n v="0.20444000000000001"/>
    <n v="0.13806800200000002"/>
    <n v="6.6371997999999988E-2"/>
    <n v="1"/>
    <n v="5"/>
    <n v="0.83333333333333337"/>
    <s v="Strong"/>
  </r>
  <r>
    <s v="General Mills, Inc."/>
    <s v="GIS"/>
    <x v="25"/>
    <n v="0.12020001"/>
    <n v="0.10389000500000001"/>
    <n v="1.6310004999999989E-2"/>
    <n v="1"/>
    <n v="6.5000000000000002E-2"/>
    <n v="2.35E-2"/>
    <n v="4.1500000000000002E-2"/>
    <n v="1"/>
    <n v="0.84599999999999997"/>
    <n v="0.98799999999999999"/>
    <n v="-0.14200000000000002"/>
    <n v="0"/>
    <n v="6.5240000000000006E-2"/>
    <n v="5.1325000000000003E-2"/>
    <n v="1.3915000000000004E-2"/>
    <n v="1"/>
    <n v="122.245"/>
    <n v="85.083500000000001"/>
    <n v="37.161500000000004"/>
    <n v="1"/>
    <n v="0.22722999999999999"/>
    <n v="0.13684499999999999"/>
    <n v="9.0384999999999993E-2"/>
    <n v="1"/>
    <n v="5"/>
    <n v="0.83333333333333337"/>
    <s v="Strong"/>
  </r>
  <r>
    <s v="Allstate Corporation (The)"/>
    <s v="ALL"/>
    <x v="26"/>
    <n v="3.1609999999999999E-2"/>
    <n v="0.10666250150000001"/>
    <n v="-7.5052501500000007E-2"/>
    <n v="0"/>
    <n v="0.187"/>
    <n v="0.12125000000000001"/>
    <n v="6.5749999999999989E-2"/>
    <n v="1"/>
    <n v="0.436"/>
    <n v="0.36975000000000002"/>
    <n v="6.6249999999999976E-2"/>
    <n v="1"/>
    <n v="3.8809999999999997E-2"/>
    <n v="3.255500075E-2"/>
    <n v="6.2549992499999971E-3"/>
    <n v="1"/>
    <n v="33.600999999999999"/>
    <n v="29.932749999999999"/>
    <n v="3.6682500000000005"/>
    <n v="1"/>
    <n v="0.18642998999999999"/>
    <n v="0.16450249750000001"/>
    <n v="2.1927492499999979E-2"/>
    <n v="1"/>
    <n v="5"/>
    <n v="0.83333333333333337"/>
    <s v="Strong"/>
  </r>
  <r>
    <s v="Xcel Energy Inc."/>
    <s v="XEL"/>
    <x v="17"/>
    <n v="0.12056"/>
    <n v="0.13919999833333332"/>
    <n v="-1.8639998333333324E-2"/>
    <n v="0"/>
    <n v="0.09"/>
    <n v="3.0333333333333337E-2"/>
    <n v="5.966666666666666E-2"/>
    <n v="1"/>
    <n v="0.77800000000000002"/>
    <n v="0.65966666666666662"/>
    <n v="0.1183333333333334"/>
    <n v="1"/>
    <n v="2.4660000000000001E-2"/>
    <n v="2.127833375E-2"/>
    <n v="3.3816662500000018E-3"/>
    <n v="1"/>
    <n v="163.63499999999999"/>
    <n v="151.27916666666667"/>
    <n v="12.355833333333322"/>
    <n v="1"/>
    <n v="0.10847"/>
    <n v="8.0088333333333345E-2"/>
    <n v="2.8381666666666652E-2"/>
    <n v="1"/>
    <n v="5"/>
    <n v="0.83333333333333337"/>
    <s v="Strong"/>
  </r>
  <r>
    <s v="Meta Platforms, Inc."/>
    <s v="FB"/>
    <x v="27"/>
    <n v="0.33383997999999998"/>
    <n v="0.30802665999999995"/>
    <n v="2.5813320000000028E-2"/>
    <n v="1"/>
    <n v="0.19900000000000001"/>
    <n v="0.28233333333333333"/>
    <n v="-8.3333333333333315E-2"/>
    <n v="0"/>
    <n v="3.1539999999999999"/>
    <n v="3.0033333333333334"/>
    <n v="0.1506666666666665"/>
    <n v="1"/>
    <n v="0.17965001"/>
    <n v="0.15650333666666669"/>
    <n v="2.3146673333333312E-2"/>
    <n v="1"/>
    <n v="11.574"/>
    <n v="11.410666666666666"/>
    <n v="0.163333333333334"/>
    <n v="1"/>
    <n v="0.31102000000000002"/>
    <n v="0.31746666666666662"/>
    <n v="-6.4466666666666006E-3"/>
    <n v="0"/>
    <n v="4"/>
    <n v="0.66666666666666663"/>
    <s v="Good"/>
  </r>
  <r>
    <s v="Visa Inc."/>
    <s v="V"/>
    <x v="5"/>
    <n v="0.51592000000000005"/>
    <n v="0.39226666333333338"/>
    <n v="0.12365333666666667"/>
    <n v="1"/>
    <n v="0.24099999999999999"/>
    <n v="0.21299999999999999"/>
    <n v="2.7999999999999997E-2"/>
    <n v="1"/>
    <n v="1.395"/>
    <n v="1.327"/>
    <n v="6.800000000000006E-2"/>
    <n v="1"/>
    <n v="0.13034999999999999"/>
    <n v="0.11619666766666666"/>
    <n v="1.4153332333333338E-2"/>
    <n v="1"/>
    <n v="57.8"/>
    <n v="99.888333333333321"/>
    <n v="-42.088333333333324"/>
    <n v="0"/>
    <n v="0.35584998000000001"/>
    <n v="0.61539335666666661"/>
    <n v="-0.2595433766666666"/>
    <n v="0"/>
    <n v="4"/>
    <n v="0.66666666666666663"/>
    <s v="Good"/>
  </r>
  <r>
    <s v="Eli Lilly and Company"/>
    <s v="LLY"/>
    <x v="28"/>
    <n v="0.21515000000000001"/>
    <n v="0.21304124999999996"/>
    <n v="2.1087500000000481E-3"/>
    <n v="1"/>
    <n v="0.18"/>
    <n v="0.270125"/>
    <n v="-9.0125000000000011E-2"/>
    <n v="0"/>
    <n v="1.302"/>
    <n v="1.4105714285714286"/>
    <n v="-0.10857142857142854"/>
    <n v="0"/>
    <n v="0.11108"/>
    <n v="9.5184285714285721E-2"/>
    <n v="1.5895714285714277E-2"/>
    <n v="1"/>
    <n v="215.45"/>
    <n v="212.02399999999994"/>
    <n v="3.4260000000000446"/>
    <n v="1"/>
    <n v="0.92237000000000002"/>
    <n v="0.47294625624999997"/>
    <n v="0.44942374375000005"/>
    <n v="1"/>
    <n v="4"/>
    <n v="0.66666666666666663"/>
    <s v="Good"/>
  </r>
  <r>
    <s v="Abbott Laboratories"/>
    <s v="ABT"/>
    <x v="18"/>
    <n v="0.17122000000000001"/>
    <n v="0.17781714214285715"/>
    <n v="-6.5971421428571431E-3"/>
    <n v="0"/>
    <n v="0.23400000000000001"/>
    <n v="0.16085714285714284"/>
    <n v="7.3142857142857176E-2"/>
    <n v="1"/>
    <n v="1.8260000000000001"/>
    <n v="2.5379999999999998"/>
    <n v="-0.71199999999999974"/>
    <n v="0"/>
    <n v="7.7399999999999997E-2"/>
    <n v="7.492714242857143E-2"/>
    <n v="2.4728575714285661E-3"/>
    <n v="1"/>
    <n v="53.112000000000002"/>
    <n v="50.663714285714285"/>
    <n v="2.4482857142857171"/>
    <n v="1"/>
    <n v="0.21862000000000001"/>
    <n v="0.18974000000000002"/>
    <n v="2.8879999999999989E-2"/>
    <n v="1"/>
    <n v="4"/>
    <n v="0.66666666666666663"/>
    <s v="Good"/>
  </r>
  <r>
    <s v="United Parcel Service, Inc."/>
    <s v="UPS"/>
    <x v="29"/>
    <n v="6.8320000000000006E-2"/>
    <n v="6.1605000000000007E-2"/>
    <n v="6.7149999999999987E-3"/>
    <n v="1"/>
    <n v="9.1999999999999998E-2"/>
    <n v="0.11699999999999999"/>
    <n v="-2.4999999999999994E-2"/>
    <n v="0"/>
    <n v="1.476"/>
    <n v="1.4849999999999999"/>
    <n v="-8.999999999999897E-3"/>
    <n v="0"/>
    <n v="7.7679999999999999E-2"/>
    <n v="6.8404999999999994E-2"/>
    <n v="9.2750000000000055E-3"/>
    <n v="1"/>
    <n v="212.38300000000001"/>
    <n v="180.0265"/>
    <n v="32.356500000000011"/>
    <n v="1"/>
    <n v="0.73033994000000002"/>
    <n v="0.472089975"/>
    <n v="0.25824996500000003"/>
    <n v="1"/>
    <n v="4"/>
    <n v="0.66666666666666663"/>
    <s v="Good"/>
  </r>
  <r>
    <s v="QUALCOMM Incorporated"/>
    <s v="QCOM"/>
    <x v="4"/>
    <n v="0.27714001999999999"/>
    <n v="0.24659300000000001"/>
    <n v="3.054701999999998E-2"/>
    <n v="1"/>
    <n v="0.3"/>
    <n v="0.30759999999999998"/>
    <n v="-7.5999999999999956E-3"/>
    <n v="0"/>
    <n v="1.6479999999999999"/>
    <n v="2.9108000000000001"/>
    <n v="-1.2628000000000001"/>
    <n v="0"/>
    <n v="0.17321"/>
    <n v="0.1215560017"/>
    <n v="5.1653998300000004E-2"/>
    <n v="1"/>
    <n v="138.97499999999999"/>
    <n v="77.073399999999992"/>
    <n v="61.901600000000002"/>
    <n v="1"/>
    <n v="1.0673900000000001"/>
    <n v="0.37541199820000004"/>
    <n v="0.69197800180000002"/>
    <n v="1"/>
    <n v="4"/>
    <n v="0.66666666666666663"/>
    <s v="Good"/>
  </r>
  <r>
    <s v="Union Pacific Corporation"/>
    <s v="UNP"/>
    <x v="30"/>
    <n v="0.29915999999999998"/>
    <n v="0.29006333333333334"/>
    <n v="9.0966666666666418E-3"/>
    <n v="1"/>
    <n v="0.115"/>
    <n v="0.16533333333333333"/>
    <n v="-5.0333333333333327E-2"/>
    <n v="0"/>
    <n v="0.61799999999999999"/>
    <n v="1.155"/>
    <n v="-0.53700000000000003"/>
    <n v="0"/>
    <n v="9.2939994999999997E-2"/>
    <n v="8.1653329666666663E-2"/>
    <n v="1.1286665333333334E-2"/>
    <n v="1"/>
    <n v="222.357"/>
    <n v="151.30633333333336"/>
    <n v="71.050666666666643"/>
    <n v="1"/>
    <n v="0.41922999999999999"/>
    <n v="0.30002334000000003"/>
    <n v="0.11920665999999996"/>
    <n v="1"/>
    <n v="4"/>
    <n v="0.66666666666666663"/>
    <s v="Good"/>
  </r>
  <r>
    <s v="Texas Instruments Incorporated"/>
    <s v="TXN"/>
    <x v="4"/>
    <n v="0.42352000000000001"/>
    <n v="0.24659300000000001"/>
    <n v="0.176927"/>
    <n v="1"/>
    <n v="0.185"/>
    <n v="0.30759999999999998"/>
    <n v="-0.12259999999999999"/>
    <n v="0"/>
    <n v="5.327"/>
    <n v="2.9108000000000001"/>
    <n v="2.4161999999999999"/>
    <n v="1"/>
    <n v="0.25614999999999999"/>
    <n v="0.1215560017"/>
    <n v="0.13459399829999999"/>
    <n v="1"/>
    <n v="61.546999999999997"/>
    <n v="77.073399999999992"/>
    <n v="-15.526399999999995"/>
    <n v="0"/>
    <n v="0.68996000000000002"/>
    <n v="0.37541199820000004"/>
    <n v="0.31454800179999998"/>
    <n v="1"/>
    <n v="4"/>
    <n v="0.66666666666666663"/>
    <s v="Good"/>
  </r>
  <r>
    <s v="Netflix, Inc."/>
    <s v="NFLX"/>
    <x v="31"/>
    <n v="0.17639999000000001"/>
    <n v="0.10431499775"/>
    <n v="7.2084992250000007E-2"/>
    <n v="1"/>
    <n v="0.16300000000000001"/>
    <n v="0.17549999999999999"/>
    <n v="-1.2499999999999983E-2"/>
    <n v="0"/>
    <n v="1.17"/>
    <n v="0.89124999999999999"/>
    <n v="0.27874999999999994"/>
    <n v="1"/>
    <n v="0.10012"/>
    <n v="5.0625000125E-2"/>
    <n v="4.9494999875000001E-2"/>
    <n v="1"/>
    <n v="117.578"/>
    <n v="174.17824999999999"/>
    <n v="-56.600249999999988"/>
    <n v="0"/>
    <n v="0.39387"/>
    <n v="0.18733000275"/>
    <n v="0.20653999725"/>
    <n v="1"/>
    <n v="4"/>
    <n v="0.66666666666666663"/>
    <s v="Good"/>
  </r>
  <r>
    <s v="Philip Morris International Inc"/>
    <s v="PM"/>
    <x v="32"/>
    <n v="0.29247000000000001"/>
    <n v="0.21205499999999999"/>
    <n v="8.0415000000000014E-2"/>
    <n v="1"/>
    <n v="9.0999999999999998E-2"/>
    <n v="3.2500000000000001E-2"/>
    <n v="5.8499999999999996E-2"/>
    <n v="1"/>
    <n v="0.998"/>
    <n v="0.87"/>
    <n v="0.128"/>
    <n v="1"/>
    <n v="0.2024"/>
    <n v="0.187360005"/>
    <n v="1.5039995E-2"/>
    <n v="1"/>
    <n v="0"/>
    <n v="0"/>
    <n v="0"/>
    <n v="0"/>
    <m/>
    <n v="2.7119799000000002"/>
    <n v="-2.7119799000000002"/>
    <n v="0"/>
    <n v="4"/>
    <n v="0.66666666666666663"/>
    <s v="Good"/>
  </r>
  <r>
    <s v="ConocoPhillips"/>
    <s v="COP"/>
    <x v="24"/>
    <n v="0.17315"/>
    <n v="0.11456799980000001"/>
    <n v="5.8582000199999984E-2"/>
    <n v="1"/>
    <n v="1.7709999999999999"/>
    <n v="1.5185999999999999"/>
    <n v="0.25239999999999996"/>
    <n v="1"/>
    <n v="1.335"/>
    <n v="1.4501999999999999"/>
    <n v="-0.11519999999999997"/>
    <n v="0"/>
    <n v="0.10439"/>
    <n v="9.155399979999998E-2"/>
    <n v="1.2836000200000017E-2"/>
    <n v="1"/>
    <n v="45.371000000000002"/>
    <n v="71.088200000000001"/>
    <n v="-25.717199999999998"/>
    <n v="0"/>
    <n v="0.21471001000000001"/>
    <n v="0.13806800200000002"/>
    <n v="7.6642007999999984E-2"/>
    <n v="1"/>
    <n v="4"/>
    <n v="0.66666666666666663"/>
    <s v="Good"/>
  </r>
  <r>
    <s v="Amgen Inc."/>
    <s v="AMGN"/>
    <x v="28"/>
    <n v="0.21767998999999999"/>
    <n v="0.21304124999999996"/>
    <n v="4.6387400000000301E-3"/>
    <n v="1"/>
    <n v="4.3999999999999997E-2"/>
    <n v="0.270125"/>
    <n v="-0.22612500000000002"/>
    <n v="0"/>
    <n v="1.643"/>
    <n v="1.4105714285714286"/>
    <n v="0.23242857142857143"/>
    <n v="1"/>
    <n v="8.6959999999999996E-2"/>
    <n v="9.5184285714285721E-2"/>
    <n v="-8.2242857142857256E-3"/>
    <n v="0"/>
    <n v="457.33199999999999"/>
    <n v="212.02399999999994"/>
    <n v="245.30800000000005"/>
    <n v="1"/>
    <n v="0.58499999999999996"/>
    <n v="0.47294625624999997"/>
    <n v="0.11205374374999999"/>
    <n v="1"/>
    <n v="4"/>
    <n v="0.66666666666666663"/>
    <s v="Good"/>
  </r>
  <r>
    <s v="Deere &amp; Company"/>
    <s v="DE"/>
    <x v="33"/>
    <n v="0.13566"/>
    <n v="0.13148500000000002"/>
    <n v="4.1749999999999843E-3"/>
    <n v="1"/>
    <n v="0.16"/>
    <n v="0.19400000000000001"/>
    <n v="-3.4000000000000002E-2"/>
    <n v="0"/>
    <n v="2.1920000000000002"/>
    <n v="1.8240000000000001"/>
    <n v="0.3680000000000001"/>
    <n v="1"/>
    <n v="6.3549999999999995E-2"/>
    <n v="5.8454999999999993E-2"/>
    <n v="5.0950000000000023E-3"/>
    <n v="1"/>
    <n v="264.86399999999998"/>
    <n v="246.83299999999997"/>
    <n v="18.031000000000006"/>
    <n v="1"/>
    <n v="0.38019999999999998"/>
    <n v="0.39367998999999998"/>
    <n v="-1.3479989999999997E-2"/>
    <n v="0"/>
    <n v="4"/>
    <n v="0.66666666666666663"/>
    <s v="Good"/>
  </r>
  <r>
    <s v="Intuit Inc."/>
    <s v="INTU"/>
    <x v="34"/>
    <n v="0.20277001"/>
    <n v="0.17165200400000002"/>
    <n v="3.1118005999999976E-2"/>
    <n v="1"/>
    <n v="0.51700000000000002"/>
    <n v="0.28060000000000002"/>
    <n v="0.2364"/>
    <n v="1"/>
    <n v="2.0990000000000002"/>
    <n v="1.3602000000000001"/>
    <n v="0.73880000000000012"/>
    <n v="1"/>
    <n v="0.12801999999999999"/>
    <n v="6.5944000000000003E-2"/>
    <n v="6.2075999999999992E-2"/>
    <n v="1"/>
    <n v="25.757999999999999"/>
    <n v="73.073599999999999"/>
    <n v="-47.315600000000003"/>
    <n v="0"/>
    <n v="0.27933999999999998"/>
    <n v="0.52347798119999989"/>
    <n v="-0.24413798119999991"/>
    <n v="0"/>
    <n v="4"/>
    <n v="0.66666666666666663"/>
    <s v="Good"/>
  </r>
  <r>
    <s v="Target Corporation"/>
    <s v="TGT"/>
    <x v="16"/>
    <n v="6.5619999999999998E-2"/>
    <n v="4.7955999999999999E-2"/>
    <n v="1.7663999999999999E-2"/>
    <n v="1"/>
    <n v="0.13300000000000001"/>
    <n v="7.6399999999999996E-2"/>
    <n v="5.6600000000000011E-2"/>
    <n v="1"/>
    <n v="0.96699999999999997"/>
    <n v="1.0478000000000001"/>
    <n v="-8.0800000000000094E-2"/>
    <n v="0"/>
    <n v="0.10204001"/>
    <n v="7.6300002000000006E-2"/>
    <n v="2.5740007999999995E-2"/>
    <n v="1"/>
    <n v="112.28700000000001"/>
    <n v="118.09080000000002"/>
    <n v="-5.8038000000000096"/>
    <n v="0"/>
    <n v="0.50011002999999998"/>
    <n v="0.30520200399999997"/>
    <n v="0.19490802600000001"/>
    <n v="1"/>
    <n v="4"/>
    <n v="0.66666666666666663"/>
    <s v="Good"/>
  </r>
  <r>
    <s v="Moderna, Inc."/>
    <s v="MRNA"/>
    <x v="35"/>
    <n v="0.5968"/>
    <n v="0.46816000666666668"/>
    <n v="0.12863999333333331"/>
    <n v="1"/>
    <n v="30.65"/>
    <n v="10.661333333333333"/>
    <n v="19.988666666666667"/>
    <n v="1"/>
    <n v="1.3480000000000001"/>
    <n v="3.1789999999999998"/>
    <n v="-1.8309999999999997"/>
    <n v="0"/>
    <n v="0.372"/>
    <n v="0.25766333333333336"/>
    <n v="0.11433666666666664"/>
    <n v="1"/>
    <n v="5.758"/>
    <n v="9.7806666666666668"/>
    <n v="-4.0226666666666668"/>
    <n v="0"/>
    <n v="1.09609"/>
    <n v="0.62818334333333326"/>
    <n v="0.46790665666666675"/>
    <n v="1"/>
    <n v="4"/>
    <n v="0.66666666666666663"/>
    <s v="Good"/>
  </r>
  <r>
    <s v="Regeneron Pharmaceuticals, Inc."/>
    <s v="REGN"/>
    <x v="35"/>
    <n v="0.50244999999999995"/>
    <n v="0.46816000666666668"/>
    <n v="3.4289993333333268E-2"/>
    <n v="1"/>
    <n v="1.044"/>
    <n v="10.661333333333333"/>
    <n v="-9.6173333333333328"/>
    <n v="0"/>
    <n v="3.5640000000000001"/>
    <n v="3.1789999999999998"/>
    <n v="0.38500000000000023"/>
    <n v="1"/>
    <n v="0.26252999999999999"/>
    <n v="0.25766333333333336"/>
    <n v="4.8666666666666303E-3"/>
    <n v="1"/>
    <n v="14.384"/>
    <n v="9.7806666666666668"/>
    <n v="4.6033333333333335"/>
    <n v="1"/>
    <n v="0.54207002999999998"/>
    <n v="0.62818334333333326"/>
    <n v="-8.6113313333333275E-2"/>
    <n v="0"/>
    <n v="4"/>
    <n v="0.66666666666666663"/>
    <s v="Good"/>
  </r>
  <r>
    <s v="Northrop Grumman Corporation"/>
    <s v="NOC"/>
    <x v="9"/>
    <n v="0.19639999"/>
    <n v="8.6845711000000006E-2"/>
    <n v="0.10955427899999999"/>
    <n v="1"/>
    <n v="-0.154"/>
    <n v="-5.5714285714285701E-3"/>
    <n v="-0.14842857142857144"/>
    <n v="0"/>
    <n v="1.304"/>
    <n v="1.9000000000000001"/>
    <n v="-0.59600000000000009"/>
    <n v="0"/>
    <n v="0.10762998999999999"/>
    <n v="5.5819999142857138E-2"/>
    <n v="5.1809990857142857E-2"/>
    <n v="1"/>
    <n v="113.392"/>
    <n v="56.095714285714287"/>
    <n v="57.296285714285709"/>
    <n v="1"/>
    <n v="0.59604000000000001"/>
    <n v="0.33201799800000004"/>
    <n v="0.26402200199999998"/>
    <n v="1"/>
    <n v="4"/>
    <n v="0.66666666666666663"/>
    <s v="Good"/>
  </r>
  <r>
    <s v="Edwards Lifesciences Corporatio"/>
    <s v="EW"/>
    <x v="18"/>
    <n v="0.28726000000000002"/>
    <n v="0.17781714214285715"/>
    <n v="0.10944285785714286"/>
    <n v="1"/>
    <n v="0.11600000000000001"/>
    <n v="0.16085714285714284"/>
    <n v="-4.4857142857142832E-2"/>
    <n v="0"/>
    <n v="3.081"/>
    <n v="2.5379999999999998"/>
    <n v="0.54300000000000015"/>
    <n v="1"/>
    <n v="0.126"/>
    <n v="7.492714242857143E-2"/>
    <n v="5.107285757142857E-2"/>
    <n v="1"/>
    <n v="11.829000000000001"/>
    <n v="50.663714285714285"/>
    <n v="-38.834714285714284"/>
    <n v="0"/>
    <n v="0.28877002000000002"/>
    <n v="0.18974000000000002"/>
    <n v="9.9030019999999996E-2"/>
    <n v="1"/>
    <n v="4"/>
    <n v="0.66666666666666663"/>
    <s v="Good"/>
  </r>
  <r>
    <s v="Dominion Energy, Inc."/>
    <s v="D"/>
    <x v="17"/>
    <n v="0.19323999"/>
    <n v="0.13919999833333332"/>
    <n v="5.4039991666666676E-2"/>
    <n v="1"/>
    <n v="-0.11899999999999999"/>
    <n v="3.0333333333333337E-2"/>
    <n v="-0.14933333333333332"/>
    <n v="0"/>
    <n v="0.70299999999999996"/>
    <n v="0.65966666666666662"/>
    <n v="4.3333333333333335E-2"/>
    <n v="1"/>
    <n v="2.1229999999999999E-2"/>
    <n v="2.127833375E-2"/>
    <n v="-4.8333750000000703E-5"/>
    <n v="0"/>
    <n v="152.62200000000001"/>
    <n v="151.27916666666667"/>
    <n v="1.3428333333333455"/>
    <n v="1"/>
    <n v="9.6390000000000003E-2"/>
    <n v="8.0088333333333345E-2"/>
    <n v="1.6301666666666659E-2"/>
    <n v="1"/>
    <n v="4"/>
    <n v="0.66666666666666663"/>
    <s v="Good"/>
  </r>
  <r>
    <s v="Activision Blizzard, Inc"/>
    <s v="ATVI"/>
    <x v="36"/>
    <n v="0.29209000000000002"/>
    <n v="0.20740999700000001"/>
    <n v="8.4680003000000004E-2"/>
    <n v="1"/>
    <n v="5.8999999999999997E-2"/>
    <n v="0.32250000000000001"/>
    <n v="-0.26350000000000001"/>
    <n v="0"/>
    <n v="5.5609999999999999"/>
    <n v="3.4379999999999997"/>
    <n v="2.1230000000000002"/>
    <n v="1"/>
    <n v="8.9840000000000003E-2"/>
    <n v="7.3480000000000004E-2"/>
    <n v="1.636E-2"/>
    <n v="1"/>
    <n v="21.28"/>
    <n v="24.61"/>
    <n v="-3.3299999999999983"/>
    <n v="0"/>
    <n v="0.16877001999999999"/>
    <n v="0.133660005"/>
    <n v="3.5110014999999994E-2"/>
    <n v="1"/>
    <n v="4"/>
    <n v="0.66666666666666663"/>
    <s v="Good"/>
  </r>
  <r>
    <s v="Pioneer Natural Resources Compa"/>
    <s v="PXD"/>
    <x v="24"/>
    <n v="0.11852"/>
    <n v="0.11456799980000001"/>
    <n v="3.952000199999986E-3"/>
    <n v="1"/>
    <n v="1.7629999999999999"/>
    <n v="1.5185999999999999"/>
    <n v="0.24439999999999995"/>
    <n v="1"/>
    <n v="1.516"/>
    <n v="1.4501999999999999"/>
    <n v="6.5800000000000081E-2"/>
    <n v="1"/>
    <n v="9.3950000000000006E-2"/>
    <n v="9.155399979999998E-2"/>
    <n v="2.3960002000000258E-3"/>
    <n v="1"/>
    <n v="34.308"/>
    <n v="71.088200000000001"/>
    <n v="-36.780200000000001"/>
    <n v="0"/>
    <n v="0.12311999999999999"/>
    <n v="0.13806800200000002"/>
    <n v="-1.494800200000003E-2"/>
    <n v="0"/>
    <n v="4"/>
    <n v="0.66666666666666663"/>
    <s v="Good"/>
  </r>
  <r>
    <s v="Marriott International"/>
    <s v="MAR"/>
    <x v="37"/>
    <n v="0.16379999000000001"/>
    <n v="9.1394995000000007E-2"/>
    <n v="7.2404995E-2"/>
    <n v="1"/>
    <n v="1.1419999999999999"/>
    <n v="1.036"/>
    <n v="0.10599999999999987"/>
    <n v="1"/>
    <n v="0.497"/>
    <n v="0.76200000000000001"/>
    <n v="-0.26500000000000001"/>
    <n v="0"/>
    <n v="3.4770000000000002E-2"/>
    <n v="3.2390000000000002E-2"/>
    <n v="2.3800000000000002E-3"/>
    <n v="1"/>
    <n v="1163.943"/>
    <n v="581.97149999999999"/>
    <n v="581.97149999999999"/>
    <n v="1"/>
    <n v="0.81430000000000002"/>
    <n v="0.81430000000000002"/>
    <n v="0"/>
    <n v="0"/>
    <n v="4"/>
    <n v="0.66666666666666663"/>
    <s v="Good"/>
  </r>
  <r>
    <s v="KLA Corporation"/>
    <s v="KLAC"/>
    <x v="14"/>
    <n v="0.36523998000000002"/>
    <n v="0.29708666666666667"/>
    <n v="6.8153313333333354E-2"/>
    <n v="1"/>
    <n v="0.35399999999999998"/>
    <n v="0.33833333333333337"/>
    <n v="1.5666666666666607E-2"/>
    <n v="1"/>
    <n v="2.4350000000000001"/>
    <n v="2.7476666666666669"/>
    <n v="-0.31266666666666687"/>
    <n v="0"/>
    <n v="0.16972999999999999"/>
    <n v="0.18592000333333333"/>
    <n v="-1.6190003333333342E-2"/>
    <n v="0"/>
    <n v="91.792000000000002"/>
    <n v="74.865666666666669"/>
    <n v="16.926333333333332"/>
    <n v="1"/>
    <n v="0.82329005"/>
    <n v="0.69937335000000012"/>
    <n v="0.12391669999999988"/>
    <n v="1"/>
    <n v="4"/>
    <n v="0.66666666666666663"/>
    <s v="Good"/>
  </r>
  <r>
    <s v="Fortinet, Inc."/>
    <s v="FTNT"/>
    <x v="3"/>
    <n v="0.17735000000000001"/>
    <n v="0.26349400199999995"/>
    <n v="-8.6144001999999942E-2"/>
    <n v="0"/>
    <n v="0.33200000000000002"/>
    <n v="0.2198"/>
    <n v="0.11220000000000002"/>
    <n v="1"/>
    <n v="1.8029999999999999"/>
    <n v="1.6274000000000002"/>
    <n v="0.17559999999999976"/>
    <n v="1"/>
    <n v="7.8520000000000006E-2"/>
    <n v="0.10721799800000001"/>
    <n v="-2.8697998000000002E-2"/>
    <n v="0"/>
    <n v="94.32"/>
    <n v="37.377800000000001"/>
    <n v="56.942199999999993"/>
    <n v="1"/>
    <n v="0.59995997000000001"/>
    <n v="0.40269748999999999"/>
    <n v="0.19726248000000002"/>
    <n v="1"/>
    <n v="4"/>
    <n v="0.66666666666666663"/>
    <s v="Good"/>
  </r>
  <r>
    <s v="DBA Sempra"/>
    <s v="SRE"/>
    <x v="21"/>
    <n v="9.5449999999999993E-2"/>
    <n v="2.3503334666666667E-2"/>
    <n v="7.1946665333333326E-2"/>
    <n v="1"/>
    <n v="0.14000000000000001"/>
    <n v="-1.6999999999999998E-2"/>
    <n v="0.157"/>
    <n v="1"/>
    <n v="0.35499999999999998"/>
    <n v="0.71200000000000008"/>
    <n v="-0.3570000000000001"/>
    <n v="0"/>
    <n v="2.3239998000000001E-2"/>
    <n v="2.2789999333333335E-2"/>
    <n v="4.4999866666666638E-4"/>
    <n v="1"/>
    <n v="107.974"/>
    <n v="123.89433333333334"/>
    <n v="-15.920333333333332"/>
    <n v="0"/>
    <n v="4.7800000000000002E-2"/>
    <n v="1.920666666666667E-2"/>
    <n v="2.8593333333333332E-2"/>
    <n v="1"/>
    <n v="4"/>
    <n v="0.66666666666666663"/>
    <s v="Good"/>
  </r>
  <r>
    <s v="Paychex, Inc."/>
    <s v="PAYX"/>
    <x v="38"/>
    <n v="0.29526999999999998"/>
    <n v="0.23503499999999999"/>
    <n v="6.0234999999999983E-2"/>
    <n v="1"/>
    <n v="0.127"/>
    <n v="0.108"/>
    <n v="1.9000000000000003E-2"/>
    <n v="1"/>
    <n v="1.27"/>
    <n v="1.1555"/>
    <n v="0.11450000000000005"/>
    <n v="1"/>
    <n v="0.11481"/>
    <n v="7.8070000000000001E-2"/>
    <n v="3.6739999999999995E-2"/>
    <n v="1"/>
    <n v="28.626999999999999"/>
    <n v="48.477499999999999"/>
    <n v="-19.8505"/>
    <n v="0"/>
    <n v="0.42571998"/>
    <n v="0.46344499"/>
    <n v="-3.7725010000000003E-2"/>
    <n v="0"/>
    <n v="4"/>
    <n v="0.66666666666666663"/>
    <s v="Good"/>
  </r>
  <r>
    <s v="IDEXX Laboratories, Inc."/>
    <s v="IDXX"/>
    <x v="39"/>
    <n v="0.23165000999999999"/>
    <n v="0.18452167"/>
    <n v="4.7128339999999991E-2"/>
    <n v="1"/>
    <n v="0.111"/>
    <n v="0.17683333333333331"/>
    <n v="-6.5833333333333313E-2"/>
    <n v="0"/>
    <n v="1.252"/>
    <n v="1.6713333333333333"/>
    <n v="-0.41933333333333334"/>
    <n v="0"/>
    <n v="0.24621999999999999"/>
    <n v="9.1146667000000001E-2"/>
    <n v="0.15507333299999998"/>
    <n v="1"/>
    <n v="149.42500000000001"/>
    <n v="96.502166666666668"/>
    <n v="52.922833333333344"/>
    <n v="1"/>
    <n v="1.1261699000000001"/>
    <n v="0.32766498833333335"/>
    <n v="0.79850491166666671"/>
    <n v="1"/>
    <n v="4"/>
    <n v="0.66666666666666663"/>
    <s v="Good"/>
  </r>
  <r>
    <s v="Simon Property Group, Inc."/>
    <s v="SPG"/>
    <x v="40"/>
    <n v="0.41"/>
    <n v="0.29133999499999996"/>
    <n v="0.11866000500000001"/>
    <n v="1"/>
    <n v="0.222"/>
    <n v="0.43149999999999999"/>
    <n v="-0.20949999999999999"/>
    <n v="0"/>
    <n v="0.39400000000000002"/>
    <n v="0.41100000000000003"/>
    <n v="-1.7000000000000015E-2"/>
    <n v="0"/>
    <n v="4.3499999999999997E-2"/>
    <n v="3.1074999999999998E-2"/>
    <n v="1.2424999999999999E-2"/>
    <n v="1"/>
    <n v="589.32000000000005"/>
    <n v="325.38600000000002"/>
    <n v="263.93400000000003"/>
    <n v="1"/>
    <n v="0.69601995000000005"/>
    <n v="0.3579899755"/>
    <n v="0.33802997450000005"/>
    <n v="1"/>
    <n v="4"/>
    <n v="0.66666666666666663"/>
    <s v="Good"/>
  </r>
  <r>
    <s v="Williams Companies, Inc. (The)"/>
    <s v="WMB"/>
    <x v="41"/>
    <n v="0.10213"/>
    <n v="0.10838500000000001"/>
    <n v="-6.2550000000000106E-3"/>
    <n v="0"/>
    <n v="0.48"/>
    <n v="0.39500000000000002"/>
    <n v="8.4999999999999964E-2"/>
    <n v="1"/>
    <n v="0.58399999999999996"/>
    <n v="0.52249999999999996"/>
    <n v="6.1499999999999999E-2"/>
    <n v="1"/>
    <n v="3.3210002000000002E-2"/>
    <n v="3.6405001000000006E-2"/>
    <n v="-3.1949990000000039E-3"/>
    <n v="0"/>
    <n v="160.65799999999999"/>
    <n v="132.209"/>
    <n v="28.448999999999984"/>
    <n v="1"/>
    <n v="7.3569999999999997E-2"/>
    <n v="6.5054998500000003E-2"/>
    <n v="8.515001499999994E-3"/>
    <n v="1"/>
    <n v="4"/>
    <n v="0.66666666666666663"/>
    <s v="Good"/>
  </r>
  <r>
    <s v="Valero Energy Corporation"/>
    <s v="VLO"/>
    <x v="42"/>
    <n v="8.5800000000000008E-3"/>
    <n v="3.3746666666666668E-2"/>
    <n v="-2.5166666666666667E-2"/>
    <n v="0"/>
    <n v="1.2490000000000001"/>
    <n v="1.0683333333333334"/>
    <n v="0.18066666666666675"/>
    <n v="1"/>
    <n v="1.256"/>
    <n v="1.202"/>
    <n v="5.4000000000000048E-2"/>
    <n v="1"/>
    <n v="2.5479999999999999E-2"/>
    <n v="1.6324999999999999E-2"/>
    <n v="9.1549999999999999E-3"/>
    <n v="1"/>
    <n v="76.322999999999993"/>
    <n v="76.00233333333334"/>
    <n v="0.32066666666665355"/>
    <n v="1"/>
    <n v="6.5280000000000005E-2"/>
    <n v="7.2096668333333336E-2"/>
    <n v="-6.8166683333333311E-3"/>
    <n v="0"/>
    <n v="4"/>
    <n v="0.66666666666666663"/>
    <s v="Good"/>
  </r>
  <r>
    <s v="Transdigm Group Incorporated"/>
    <s v="TDG"/>
    <x v="9"/>
    <n v="0.16236999999999999"/>
    <n v="8.6845711000000006E-2"/>
    <n v="7.5524288999999981E-2"/>
    <n v="1"/>
    <n v="7.8E-2"/>
    <n v="-5.5714285714285701E-3"/>
    <n v="8.3571428571428574E-2"/>
    <n v="1"/>
    <n v="5.0590000000000002"/>
    <n v="1.9000000000000001"/>
    <n v="3.1589999999999998"/>
    <n v="1"/>
    <n v="6.2670000000000003E-2"/>
    <n v="5.5819999142857138E-2"/>
    <n v="6.8500008571428656E-3"/>
    <n v="1"/>
    <n v="0"/>
    <n v="56.095714285714287"/>
    <n v="-56.095714285714287"/>
    <n v="0"/>
    <m/>
    <n v="0.33201799800000004"/>
    <n v="-0.33201799800000004"/>
    <n v="0"/>
    <n v="4"/>
    <n v="0.66666666666666663"/>
    <s v="Good"/>
  </r>
  <r>
    <s v="LyondellBasell Industries NV"/>
    <s v="LYB"/>
    <x v="43"/>
    <n v="0.12149999"/>
    <n v="0.15536000333333333"/>
    <n v="-3.3860013333333328E-2"/>
    <n v="0"/>
    <n v="0.61599999999999999"/>
    <n v="0.21066666666666664"/>
    <n v="0.40533333333333332"/>
    <n v="1"/>
    <n v="1.69"/>
    <n v="1.6655"/>
    <n v="2.4499999999999966E-2"/>
    <n v="1"/>
    <n v="0.12806000000000001"/>
    <n v="6.7101666833333337E-2"/>
    <n v="6.095833316666667E-2"/>
    <n v="1"/>
    <n v="115.79900000000001"/>
    <n v="123.15566666666665"/>
    <n v="-7.3566666666666407"/>
    <n v="0"/>
    <n v="0.55903000000000003"/>
    <n v="0.26484833499999999"/>
    <n v="0.29418166500000004"/>
    <n v="1"/>
    <n v="4"/>
    <n v="0.66666666666666663"/>
    <s v="Good"/>
  </r>
  <r>
    <s v="Ameriprise Financial, Inc."/>
    <s v="AMP"/>
    <x v="44"/>
    <n v="0.20530999999999999"/>
    <n v="0.30562332333333336"/>
    <n v="-0.10031332333333337"/>
    <n v="0"/>
    <n v="0.18"/>
    <n v="0.156"/>
    <n v="2.3999999999999994E-2"/>
    <n v="1"/>
    <n v="3.2189999999999999"/>
    <n v="2.0716666666666668"/>
    <n v="1.1473333333333331"/>
    <n v="1"/>
    <n v="1.5299999999999999E-2"/>
    <n v="8.1486663333333334E-2"/>
    <n v="-6.618666333333334E-2"/>
    <n v="0"/>
    <n v="67.563999999999993"/>
    <n v="31.016666666666666"/>
    <n v="36.547333333333327"/>
    <n v="1"/>
    <n v="0.47783999999999999"/>
    <n v="0.32167000000000001"/>
    <n v="0.15616999999999998"/>
    <n v="1"/>
    <n v="4"/>
    <n v="0.66666666666666663"/>
    <s v="Good"/>
  </r>
  <r>
    <s v="Align Technology, Inc."/>
    <s v="ALGN"/>
    <x v="18"/>
    <n v="0.19531999999999999"/>
    <n v="0.17781714214285715"/>
    <n v="1.7502857857142839E-2"/>
    <n v="1"/>
    <n v="0.23599999999999999"/>
    <n v="0.16085714285714284"/>
    <n v="7.514285714285715E-2"/>
    <n v="1"/>
    <n v="1.296"/>
    <n v="2.5379999999999998"/>
    <n v="-1.2419999999999998"/>
    <n v="0"/>
    <n v="0.11330999999999999"/>
    <n v="7.492714242857143E-2"/>
    <n v="3.8382857571428564E-2"/>
    <n v="1"/>
    <n v="2.8340000000000001"/>
    <n v="50.663714285714285"/>
    <n v="-47.829714285714282"/>
    <n v="0"/>
    <n v="0.22518998000000001"/>
    <n v="0.18974000000000002"/>
    <n v="3.5449979999999992E-2"/>
    <n v="1"/>
    <n v="4"/>
    <n v="0.66666666666666663"/>
    <s v="Good"/>
  </r>
  <r>
    <s v="Halliburton Company"/>
    <s v="HAL"/>
    <x v="45"/>
    <n v="2.792E-2"/>
    <n v="3.8926667999999998E-2"/>
    <n v="-1.1006667999999997E-2"/>
    <n v="0"/>
    <n v="0.29699999999999999"/>
    <n v="0.14366666666666666"/>
    <n v="0.15333333333333332"/>
    <n v="1"/>
    <n v="2.39"/>
    <n v="1.7346666666666668"/>
    <n v="0.65533333333333332"/>
    <n v="1"/>
    <n v="4.335E-2"/>
    <n v="3.8259999999999995E-2"/>
    <n v="5.0900000000000042E-3"/>
    <n v="1"/>
    <n v="180.941"/>
    <n v="106.27766666666666"/>
    <n v="74.663333333333341"/>
    <n v="1"/>
    <n v="7.5990000000000002E-2"/>
    <n v="7.715000000000001E-2"/>
    <n v="-1.1600000000000082E-3"/>
    <n v="0"/>
    <n v="4"/>
    <n v="0.66666666666666663"/>
    <s v="Good"/>
  </r>
  <r>
    <s v="eBay Inc."/>
    <s v="EBAY"/>
    <x v="46"/>
    <n v="1.0704899999999999"/>
    <n v="0.57074999999999998"/>
    <n v="0.49973999999999996"/>
    <n v="1"/>
    <n v="0.108"/>
    <n v="0.10100000000000001"/>
    <n v="6.9999999999999923E-3"/>
    <n v="1"/>
    <n v="3.3530000000000002"/>
    <n v="2.2444999999999999"/>
    <n v="1.1085000000000003"/>
    <n v="1"/>
    <n v="7.7030000000000001E-2"/>
    <n v="5.9479999000000006E-2"/>
    <n v="1.7550000999999996E-2"/>
    <n v="1"/>
    <n v="85.034000000000006"/>
    <n v="92.949000000000012"/>
    <n v="-7.9150000000000063"/>
    <n v="0"/>
    <n v="0.28445998"/>
    <n v="0.28625999000000002"/>
    <n v="-1.8000100000000185E-3"/>
    <n v="0"/>
    <n v="4"/>
    <n v="0.66666666666666663"/>
    <s v="Good"/>
  </r>
  <r>
    <s v="Tesla, Inc."/>
    <s v="TSLA"/>
    <x v="47"/>
    <n v="7.4029999999999999E-2"/>
    <n v="9.4826665333333338E-2"/>
    <n v="-2.0796665333333339E-2"/>
    <n v="0"/>
    <n v="0.56799999999999995"/>
    <n v="0.17033333333333334"/>
    <n v="0.39766666666666661"/>
    <n v="1"/>
    <n v="1.385"/>
    <n v="1.2296666666666667"/>
    <n v="0.15533333333333332"/>
    <n v="1"/>
    <n v="5.5370003000000001E-2"/>
    <n v="3.6796666666666665E-2"/>
    <n v="1.8573336333333336E-2"/>
    <n v="1"/>
    <n v="35.65"/>
    <n v="163.52166666666665"/>
    <n v="-127.87166666666664"/>
    <n v="0"/>
    <n v="0.15640999999999999"/>
    <n v="0.25986000999999997"/>
    <n v="-0.10345000999999998"/>
    <n v="0"/>
    <n v="3"/>
    <n v="0.5"/>
    <s v="Average"/>
  </r>
  <r>
    <s v="UnitedHealth Group Incorporated"/>
    <s v="UNH"/>
    <x v="8"/>
    <n v="5.5230000000000001E-2"/>
    <n v="3.6041667333333326E-2"/>
    <n v="1.9188332666666676E-2"/>
    <n v="1"/>
    <n v="0.111"/>
    <n v="0.11366666666666668"/>
    <n v="-2.6666666666666783E-3"/>
    <n v="0"/>
    <n v="0.72"/>
    <n v="1.1100000000000001"/>
    <n v="-0.39000000000000012"/>
    <n v="0"/>
    <n v="6.7900000000000002E-2"/>
    <n v="4.6496666166666666E-2"/>
    <n v="2.1403333833333336E-2"/>
    <n v="1"/>
    <n v="62.929000000000002"/>
    <n v="78.132333333333335"/>
    <n v="-15.203333333333333"/>
    <n v="0"/>
    <n v="0.21984999999999999"/>
    <n v="0.14621000233333331"/>
    <n v="7.3639997666666679E-2"/>
    <n v="1"/>
    <n v="3"/>
    <n v="0.5"/>
    <s v="Average"/>
  </r>
  <r>
    <s v="Coca-Cola Company (The)"/>
    <s v="KO"/>
    <x v="48"/>
    <n v="0.23313998999999999"/>
    <n v="0.20896999666666669"/>
    <n v="2.4169993333333306E-2"/>
    <n v="1"/>
    <n v="0.161"/>
    <n v="0.13633333333333333"/>
    <n v="2.466666666666667E-2"/>
    <n v="1"/>
    <n v="1.516"/>
    <n v="2.3876666666666666"/>
    <n v="-0.87166666666666659"/>
    <n v="0"/>
    <n v="7.8310000000000005E-2"/>
    <n v="0.10935333466666668"/>
    <n v="-3.1043334666666672E-2"/>
    <n v="0"/>
    <n v="172.82599999999999"/>
    <n v="143.72033333333331"/>
    <n v="29.105666666666679"/>
    <n v="1"/>
    <n v="0.39722002000000001"/>
    <n v="0.41078666000000003"/>
    <n v="-1.3566640000000019E-2"/>
    <n v="0"/>
    <n v="3"/>
    <n v="0.5"/>
    <s v="Average"/>
  </r>
  <r>
    <s v="Costco Wholesale Corporation"/>
    <s v="COST"/>
    <x v="16"/>
    <n v="2.5430000000000001E-2"/>
    <n v="4.7955999999999999E-2"/>
    <n v="-2.2525999999999997E-2"/>
    <n v="0"/>
    <n v="0.16600000000000001"/>
    <n v="7.6399999999999996E-2"/>
    <n v="8.9600000000000013E-2"/>
    <n v="1"/>
    <n v="1.0149999999999999"/>
    <n v="1.0478000000000001"/>
    <n v="-3.2800000000000162E-2"/>
    <n v="0"/>
    <n v="7.6429999999999998E-2"/>
    <n v="7.6300002000000006E-2"/>
    <n v="1.2999799999999229E-4"/>
    <n v="1"/>
    <n v="53.237000000000002"/>
    <n v="118.09080000000002"/>
    <n v="-64.853800000000007"/>
    <n v="0"/>
    <n v="0.30563000000000001"/>
    <n v="0.30520200399999997"/>
    <n v="4.2799600000004157E-4"/>
    <n v="1"/>
    <n v="3"/>
    <n v="0.5"/>
    <s v="Average"/>
  </r>
  <r>
    <s v="Cisco Systems, Inc."/>
    <s v="CSCO"/>
    <x v="49"/>
    <n v="0.22439999999999999"/>
    <n v="0.1895"/>
    <n v="3.4899999999999987E-2"/>
    <n v="1"/>
    <n v="8.1000000000000003E-2"/>
    <n v="0.10450000000000001"/>
    <n v="-2.3500000000000007E-2"/>
    <n v="0"/>
    <n v="1.6180000000000001"/>
    <n v="1.4995000000000001"/>
    <n v="0.11850000000000005"/>
    <n v="1"/>
    <n v="9.196E-2"/>
    <n v="9.932000299999999E-2"/>
    <n v="-7.36000299999999E-3"/>
    <n v="0"/>
    <n v="25.032"/>
    <n v="12.516"/>
    <n v="12.516"/>
    <n v="1"/>
    <n v="0.28190001999999997"/>
    <n v="0.28190001999999997"/>
    <n v="0"/>
    <n v="0"/>
    <n v="3"/>
    <n v="0.5"/>
    <s v="Average"/>
  </r>
  <r>
    <s v="Comcast Corporation"/>
    <s v="CMCSA"/>
    <x v="31"/>
    <n v="0.12731000000000001"/>
    <n v="0.10431499775"/>
    <n v="2.2995002250000007E-2"/>
    <n v="1"/>
    <n v="0.187"/>
    <n v="0.17549999999999999"/>
    <n v="1.150000000000001E-2"/>
    <n v="1"/>
    <n v="1.026"/>
    <n v="0.89124999999999999"/>
    <n v="0.13475000000000004"/>
    <n v="1"/>
    <n v="4.5589999999999999E-2"/>
    <n v="5.0625000125E-2"/>
    <n v="-5.0350001250000012E-3"/>
    <n v="0"/>
    <n v="104.661"/>
    <n v="174.17824999999999"/>
    <n v="-69.51724999999999"/>
    <n v="0"/>
    <n v="0.15312000000000001"/>
    <n v="0.18733000275"/>
    <n v="-3.4210002749999996E-2"/>
    <n v="0"/>
    <n v="3"/>
    <n v="0.5"/>
    <s v="Average"/>
  </r>
  <r>
    <s v="Advanced Micro Devices, Inc."/>
    <s v="AMD"/>
    <x v="4"/>
    <n v="0.19240999"/>
    <n v="0.24659300000000001"/>
    <n v="-5.4183010000000004E-2"/>
    <n v="0"/>
    <n v="0.48799999999999999"/>
    <n v="0.30759999999999998"/>
    <n v="0.1804"/>
    <n v="1"/>
    <n v="2.024"/>
    <n v="2.9108000000000001"/>
    <n v="-0.88680000000000003"/>
    <n v="0"/>
    <n v="0.21326999999999999"/>
    <n v="0.1215560017"/>
    <n v="9.1713998299999988E-2"/>
    <n v="1"/>
    <n v="9.7639999999999993"/>
    <n v="77.073399999999992"/>
    <n v="-67.309399999999997"/>
    <n v="0"/>
    <n v="0.47427999999999998"/>
    <n v="0.37541199820000004"/>
    <n v="9.8868001799999938E-2"/>
    <n v="1"/>
    <n v="3"/>
    <n v="0.5"/>
    <s v="Average"/>
  </r>
  <r>
    <s v="S&amp;P Global Inc."/>
    <s v="SPGI"/>
    <x v="50"/>
    <n v="0.36446998000000003"/>
    <n v="0.40717199600000004"/>
    <n v="-4.2702016000000009E-2"/>
    <n v="0"/>
    <n v="0.11799999999999999"/>
    <n v="0.15279999999999999"/>
    <n v="-3.4799999999999998E-2"/>
    <n v="0"/>
    <n v="2.3090000000000002"/>
    <n v="1.5326"/>
    <n v="0.7764000000000002"/>
    <n v="1"/>
    <n v="0.20552999"/>
    <n v="0.10174799999999999"/>
    <n v="0.10378199"/>
    <n v="1"/>
    <n v="89.811999999999998"/>
    <n v="95.873400000000004"/>
    <n v="-6.0614000000000061"/>
    <n v="0"/>
    <n v="0.73424999999999996"/>
    <n v="0.48719750249999999"/>
    <n v="0.24705249749999997"/>
    <n v="1"/>
    <n v="3"/>
    <n v="0.5"/>
    <s v="Average"/>
  </r>
  <r>
    <s v="Estee Lauder Companies, Inc. (T"/>
    <s v="EL"/>
    <x v="51"/>
    <n v="0.17829001"/>
    <n v="0.14528250400000001"/>
    <n v="3.3007505999999992E-2"/>
    <n v="1"/>
    <n v="0.23300000000000001"/>
    <n v="8.475000000000002E-2"/>
    <n v="0.14824999999999999"/>
    <n v="1"/>
    <n v="1.7829999999999999"/>
    <n v="1.0912500000000001"/>
    <n v="0.69174999999999986"/>
    <n v="1"/>
    <n v="0.10375"/>
    <n v="0.113515"/>
    <n v="-9.7650000000000098E-3"/>
    <n v="0"/>
    <n v="114.934"/>
    <n v="560.26625000000001"/>
    <n v="-445.33225000000004"/>
    <n v="0"/>
    <n v="0.53242999999999996"/>
    <n v="1.3491249999999999"/>
    <n v="-0.81669499999999995"/>
    <n v="0"/>
    <n v="3"/>
    <n v="0.5"/>
    <s v="Average"/>
  </r>
  <r>
    <s v="Chubb Limited"/>
    <s v="CB"/>
    <x v="26"/>
    <n v="0.21836"/>
    <n v="0.10666250150000001"/>
    <n v="0.11169749849999999"/>
    <n v="1"/>
    <n v="0.14000000000000001"/>
    <n v="0.12125000000000001"/>
    <n v="1.8750000000000003E-2"/>
    <n v="1"/>
    <n v="0.34200000000000003"/>
    <n v="0.36975000000000002"/>
    <n v="-2.7749999999999997E-2"/>
    <n v="0"/>
    <n v="2.5390000999999999E-2"/>
    <n v="3.255500075E-2"/>
    <n v="-7.1649997500000014E-3"/>
    <n v="0"/>
    <n v="32.665999999999997"/>
    <n v="29.932749999999999"/>
    <n v="2.7332499999999982"/>
    <n v="1"/>
    <n v="0.15235000000000001"/>
    <n v="0.16450249750000001"/>
    <n v="-1.2152497499999998E-2"/>
    <n v="0"/>
    <n v="3"/>
    <n v="0.5"/>
    <s v="Average"/>
  </r>
  <r>
    <s v="Micron Technology, Inc."/>
    <s v="MU"/>
    <x v="4"/>
    <n v="0.24861999000000001"/>
    <n v="0.24659300000000001"/>
    <n v="2.0269900000000063E-3"/>
    <n v="1"/>
    <n v="0.33200000000000002"/>
    <n v="0.30759999999999998"/>
    <n v="2.4400000000000033E-2"/>
    <n v="1"/>
    <n v="3.101"/>
    <n v="2.9108000000000001"/>
    <n v="0.19019999999999992"/>
    <n v="1"/>
    <n v="9.3430004999999997E-2"/>
    <n v="0.1215560017"/>
    <n v="-2.8125996700000003E-2"/>
    <n v="0"/>
    <n v="16.561"/>
    <n v="77.073399999999992"/>
    <n v="-60.512399999999992"/>
    <n v="0"/>
    <n v="0.17163"/>
    <n v="0.37541199820000004"/>
    <n v="-0.20378199820000004"/>
    <n v="0"/>
    <n v="3"/>
    <n v="0.5"/>
    <s v="Average"/>
  </r>
  <r>
    <s v="CSX Corporation"/>
    <s v="CSX"/>
    <x v="30"/>
    <n v="0.30259999999999998"/>
    <n v="0.29006333333333334"/>
    <n v="1.253666666666664E-2"/>
    <n v="1"/>
    <n v="0.24299999999999999"/>
    <n v="0.16533333333333333"/>
    <n v="7.7666666666666662E-2"/>
    <n v="1"/>
    <n v="1.718"/>
    <n v="1.155"/>
    <n v="0.56299999999999994"/>
    <n v="1"/>
    <n v="8.0369994E-2"/>
    <n v="8.1653329666666663E-2"/>
    <n v="-1.2833356666666629E-3"/>
    <n v="0"/>
    <n v="128.113"/>
    <n v="151.30633333333336"/>
    <n v="-23.193333333333356"/>
    <n v="0"/>
    <n v="0.27854002"/>
    <n v="0.30002334000000003"/>
    <n v="-2.1483320000000028E-2"/>
    <n v="0"/>
    <n v="3"/>
    <n v="0.5"/>
    <s v="Average"/>
  </r>
  <r>
    <s v="Southern Company (The)"/>
    <s v="SO"/>
    <x v="17"/>
    <n v="0.10353"/>
    <n v="0.13919999833333332"/>
    <n v="-3.5669998333333328E-2"/>
    <n v="0"/>
    <n v="0.127"/>
    <n v="3.0333333333333337E-2"/>
    <n v="9.6666666666666665E-2"/>
    <n v="1"/>
    <n v="0.82099999999999995"/>
    <n v="0.65966666666666662"/>
    <n v="0.16133333333333333"/>
    <n v="1"/>
    <n v="2.0380002000000001E-2"/>
    <n v="2.127833375E-2"/>
    <n v="-8.9833174999999835E-4"/>
    <n v="0"/>
    <n v="170.41499999999999"/>
    <n v="151.27916666666667"/>
    <n v="19.135833333333323"/>
    <n v="1"/>
    <n v="7.0480000000000001E-2"/>
    <n v="8.0088333333333345E-2"/>
    <n v="-9.6083333333333437E-3"/>
    <n v="0"/>
    <n v="3"/>
    <n v="0.5"/>
    <s v="Average"/>
  </r>
  <r>
    <s v="EOG Resources, Inc."/>
    <s v="EOG"/>
    <x v="24"/>
    <n v="0.18018000000000001"/>
    <n v="0.11456799980000001"/>
    <n v="6.5612000199999992E-2"/>
    <n v="1"/>
    <n v="1.2649999999999999"/>
    <n v="1.5185999999999999"/>
    <n v="-0.25360000000000005"/>
    <n v="0"/>
    <n v="2.109"/>
    <n v="1.4501999999999999"/>
    <n v="0.65880000000000005"/>
    <n v="1"/>
    <n v="6.9769999999999999E-2"/>
    <n v="9.155399979999998E-2"/>
    <n v="-2.1783999799999981E-2"/>
    <n v="0"/>
    <n v="24.658999999999999"/>
    <n v="71.088200000000001"/>
    <n v="-46.429200000000002"/>
    <n v="0"/>
    <n v="0.14394000000000001"/>
    <n v="0.13806800200000002"/>
    <n v="5.8719979999999894E-3"/>
    <n v="1"/>
    <n v="3"/>
    <n v="0.5"/>
    <s v="Average"/>
  </r>
  <r>
    <s v="Ford Motor Company"/>
    <s v="F"/>
    <x v="47"/>
    <n v="0.13156000000000001"/>
    <n v="9.4826665333333338E-2"/>
    <n v="3.6733334666666673E-2"/>
    <n v="1"/>
    <n v="4.8000000000000001E-2"/>
    <n v="0.17033333333333334"/>
    <n v="-0.12233333333333334"/>
    <n v="0"/>
    <n v="1.2010000000000001"/>
    <n v="1.2296666666666667"/>
    <n v="-2.8666666666666618E-2"/>
    <n v="0"/>
    <n v="2.5239998E-2"/>
    <n v="3.6796666666666665E-2"/>
    <n v="-1.1556668666666665E-2"/>
    <n v="0"/>
    <n v="286.87599999999998"/>
    <n v="163.52166666666665"/>
    <n v="123.35433333333333"/>
    <n v="1"/>
    <n v="0.45095003"/>
    <n v="0.25986000999999997"/>
    <n v="0.19109002000000003"/>
    <n v="1"/>
    <n v="3"/>
    <n v="0.5"/>
    <s v="Average"/>
  </r>
  <r>
    <s v="Sherwin-Williams Company (The)"/>
    <s v="SHW"/>
    <x v="43"/>
    <n v="0.10001001"/>
    <n v="0.15536000333333333"/>
    <n v="-5.5349993333333333E-2"/>
    <n v="0"/>
    <n v="5.0000000000000001E-3"/>
    <n v="0.21066666666666664"/>
    <n v="-0.20566666666666664"/>
    <n v="0"/>
    <n v="0.83"/>
    <n v="1.6655"/>
    <n v="-0.83550000000000002"/>
    <n v="0"/>
    <n v="8.5949999999999999E-2"/>
    <n v="6.7101666833333337E-2"/>
    <n v="1.8848333166666661E-2"/>
    <n v="1"/>
    <n v="401.78"/>
    <n v="123.15566666666665"/>
    <n v="278.62433333333331"/>
    <n v="1"/>
    <n v="0.57045999999999997"/>
    <n v="0.26484833499999999"/>
    <n v="0.30561166499999998"/>
    <n v="1"/>
    <n v="3"/>
    <n v="0.5"/>
    <s v="Average"/>
  </r>
  <r>
    <s v="Colgate-Palmolive Company"/>
    <s v="CL"/>
    <x v="51"/>
    <n v="0.12433"/>
    <n v="0.14528250400000001"/>
    <n v="-2.0952504000000011E-2"/>
    <n v="0"/>
    <n v="1.7999999999999999E-2"/>
    <n v="8.475000000000002E-2"/>
    <n v="-6.6750000000000018E-2"/>
    <n v="0"/>
    <n v="1.085"/>
    <n v="1.0912500000000001"/>
    <n v="-6.2500000000000888E-3"/>
    <n v="0"/>
    <n v="0.15467"/>
    <n v="0.113515"/>
    <n v="4.1154999999999997E-2"/>
    <n v="1"/>
    <n v="808.85699999999997"/>
    <n v="560.26625000000001"/>
    <n v="248.59074999999996"/>
    <n v="1"/>
    <n v="2.2567599999999999"/>
    <n v="1.3491249999999999"/>
    <n v="0.90763499999999997"/>
    <n v="1"/>
    <n v="3"/>
    <n v="0.5"/>
    <s v="Average"/>
  </r>
  <r>
    <s v="Moody's Corporation"/>
    <s v="MCO"/>
    <x v="50"/>
    <n v="0.35199000000000003"/>
    <n v="0.40717199600000004"/>
    <n v="-5.5181996000000011E-2"/>
    <n v="0"/>
    <n v="0.125"/>
    <n v="0.15279999999999999"/>
    <n v="-2.7799999999999991E-2"/>
    <n v="0"/>
    <n v="1.5229999999999999"/>
    <n v="1.5326"/>
    <n v="-9.6000000000000529E-3"/>
    <n v="0"/>
    <n v="0.13633001"/>
    <n v="0.10174799999999999"/>
    <n v="3.458201000000001E-2"/>
    <n v="1"/>
    <n v="307.86500000000001"/>
    <n v="95.873400000000004"/>
    <n v="211.99160000000001"/>
    <n v="1"/>
    <n v="0.97448999999999997"/>
    <n v="0.48719750249999999"/>
    <n v="0.48729249749999998"/>
    <n v="1"/>
    <n v="3"/>
    <n v="0.5"/>
    <s v="Average"/>
  </r>
  <r>
    <s v="Schlumberger N.V."/>
    <s v="SLB"/>
    <x v="45"/>
    <n v="8.2040004E-2"/>
    <n v="3.8926667999999998E-2"/>
    <n v="4.3113336000000002E-2"/>
    <n v="1"/>
    <n v="0.125"/>
    <n v="0.14366666666666666"/>
    <n v="-1.8666666666666665E-2"/>
    <n v="0"/>
    <n v="1.222"/>
    <n v="1.7346666666666668"/>
    <n v="-0.51266666666666683"/>
    <n v="0"/>
    <n v="4.1169999999999998E-2"/>
    <n v="3.8259999999999995E-2"/>
    <n v="2.9100000000000029E-3"/>
    <n v="1"/>
    <n v="98.188000000000002"/>
    <n v="106.27766666666666"/>
    <n v="-8.089666666666659"/>
    <n v="0"/>
    <n v="0.13883000000000001"/>
    <n v="7.715000000000001E-2"/>
    <n v="6.1679999999999999E-2"/>
    <n v="1"/>
    <n v="3"/>
    <n v="0.5"/>
    <s v="Average"/>
  </r>
  <r>
    <s v="Emerson Electric Company"/>
    <s v="EMR"/>
    <x v="1"/>
    <n v="0.12629000000000001"/>
    <n v="0.12041000057142859"/>
    <n v="5.8799994285714252E-3"/>
    <n v="1"/>
    <n v="8.5000000000000006E-2"/>
    <n v="7.0857142857142855E-2"/>
    <n v="1.4142857142857151E-2"/>
    <n v="1"/>
    <n v="1.35"/>
    <n v="1.4689999999999999"/>
    <n v="-0.11899999999999977"/>
    <n v="0"/>
    <n v="8.1259999999999999E-2"/>
    <n v="6.6908572285714271E-2"/>
    <n v="1.4351427714285728E-2"/>
    <n v="1"/>
    <n v="72.891000000000005"/>
    <n v="107.70214285714285"/>
    <n v="-34.811142857142841"/>
    <n v="0"/>
    <n v="0.25335000000000002"/>
    <n v="0.26455856971428571"/>
    <n v="-1.1208569714285688E-2"/>
    <n v="0"/>
    <n v="3"/>
    <n v="0.5"/>
    <s v="Average"/>
  </r>
  <r>
    <s v="Humana Inc."/>
    <s v="HUM"/>
    <x v="8"/>
    <n v="3.252E-2"/>
    <n v="3.6041667333333326E-2"/>
    <n v="-3.5216673333333254E-3"/>
    <n v="0"/>
    <n v="8.6999999999999994E-2"/>
    <n v="0.11366666666666668"/>
    <n v="-2.6666666666666686E-2"/>
    <n v="0"/>
    <n v="1.718"/>
    <n v="1.1100000000000001"/>
    <n v="0.60799999999999987"/>
    <n v="1"/>
    <n v="5.7729996999999998E-2"/>
    <n v="4.6496666166666666E-2"/>
    <n v="1.1233330833333333E-2"/>
    <n v="1"/>
    <n v="76.778000000000006"/>
    <n v="78.132333333333335"/>
    <n v="-1.3543333333333294"/>
    <n v="0"/>
    <n v="0.1668"/>
    <n v="0.14621000233333331"/>
    <n v="2.0589997666666693E-2"/>
    <n v="1"/>
    <n v="3"/>
    <n v="0.5"/>
    <s v="Average"/>
  </r>
  <r>
    <s v="Illumina, Inc."/>
    <s v="ILMN"/>
    <x v="39"/>
    <n v="0.21192"/>
    <n v="0.18452167"/>
    <n v="2.7398329999999999E-2"/>
    <n v="1"/>
    <n v="0.39500000000000002"/>
    <n v="0.17683333333333331"/>
    <n v="0.2181666666666667"/>
    <n v="1"/>
    <n v="2.6819999999999999"/>
    <n v="1.6713333333333333"/>
    <n v="1.0106666666666666"/>
    <n v="1"/>
    <n v="3.9280000000000002E-2"/>
    <n v="9.1146667000000001E-2"/>
    <n v="-5.1866666999999998E-2"/>
    <n v="0"/>
    <n v="23.95"/>
    <n v="96.502166666666668"/>
    <n v="-72.552166666666665"/>
    <n v="0"/>
    <n v="0.11862001"/>
    <n v="0.32766498833333335"/>
    <n v="-0.20904497833333335"/>
    <n v="0"/>
    <n v="3"/>
    <n v="0.5"/>
    <s v="Average"/>
  </r>
  <r>
    <s v="Air Products and Chemicals, Inc"/>
    <s v="APD"/>
    <x v="43"/>
    <n v="0.20333999999999999"/>
    <n v="0.15536000333333333"/>
    <n v="4.7979996666666663E-2"/>
    <n v="1"/>
    <n v="0.22500000000000001"/>
    <n v="0.21066666666666664"/>
    <n v="1.4333333333333365E-2"/>
    <n v="1"/>
    <n v="2.992"/>
    <n v="1.6655"/>
    <n v="1.3265"/>
    <n v="1"/>
    <n v="5.6570000000000002E-2"/>
    <n v="6.7101666833333337E-2"/>
    <n v="-1.0531666833333335E-2"/>
    <n v="0"/>
    <n v="58.573999999999998"/>
    <n v="123.15566666666665"/>
    <n v="-64.581666666666649"/>
    <n v="0"/>
    <n v="0.15412999999999999"/>
    <n v="0.26484833499999999"/>
    <n v="-0.110718335"/>
    <n v="0"/>
    <n v="3"/>
    <n v="0.5"/>
    <s v="Average"/>
  </r>
  <r>
    <s v="Autodesk, Inc."/>
    <s v="ADSK"/>
    <x v="34"/>
    <n v="0.31304999999999999"/>
    <n v="0.17165200400000002"/>
    <n v="0.14139799599999997"/>
    <n v="1"/>
    <n v="0.182"/>
    <n v="0.28060000000000002"/>
    <n v="-9.8600000000000021E-2"/>
    <n v="0"/>
    <n v="0.80900000000000005"/>
    <n v="1.3602000000000001"/>
    <n v="-0.55120000000000002"/>
    <n v="0"/>
    <n v="5.9569999999999998E-2"/>
    <n v="6.5944000000000003E-2"/>
    <n v="-6.3740000000000047E-3"/>
    <n v="0"/>
    <n v="238.261"/>
    <n v="73.073599999999999"/>
    <n v="165.1874"/>
    <n v="1"/>
    <n v="1.9555298999999999"/>
    <n v="0.52347798119999989"/>
    <n v="1.4320519188"/>
    <n v="1"/>
    <n v="3"/>
    <n v="0.5"/>
    <s v="Average"/>
  </r>
  <r>
    <s v="Marathon Petroleum Corporation"/>
    <s v="MPC"/>
    <x v="42"/>
    <n v="8.0850000000000005E-2"/>
    <n v="3.3746666666666668E-2"/>
    <n v="4.7103333333333337E-2"/>
    <n v="1"/>
    <n v="0.96699999999999997"/>
    <n v="1.0683333333333334"/>
    <n v="-0.10133333333333339"/>
    <n v="0"/>
    <m/>
    <n v="1.202"/>
    <n v="-1.202"/>
    <n v="0"/>
    <m/>
    <n v="1.6324999999999999E-2"/>
    <n v="-1.6324999999999999E-2"/>
    <n v="0"/>
    <n v="79.974000000000004"/>
    <n v="76.00233333333334"/>
    <n v="3.971666666666664"/>
    <n v="1"/>
    <n v="7.7149999999999996E-2"/>
    <n v="7.2096668333333336E-2"/>
    <n v="5.0533316666666606E-3"/>
    <n v="1"/>
    <n v="3"/>
    <n v="0.5"/>
    <s v="Average"/>
  </r>
  <r>
    <s v="Cadence Design Systems, Inc."/>
    <s v="CDNS"/>
    <x v="34"/>
    <n v="0.23297001000000001"/>
    <n v="0.17165200400000002"/>
    <n v="6.131800599999998E-2"/>
    <n v="1"/>
    <n v="0.126"/>
    <n v="0.28060000000000002"/>
    <n v="-0.15460000000000002"/>
    <n v="0"/>
    <n v="1.7010000000000001"/>
    <n v="1.3602000000000001"/>
    <n v="0.34079999999999999"/>
    <n v="1"/>
    <n v="0.1164"/>
    <n v="6.5944000000000003E-2"/>
    <n v="5.0456000000000001E-2"/>
    <n v="1"/>
    <n v="13.202"/>
    <n v="73.073599999999999"/>
    <n v="-59.871600000000001"/>
    <n v="0"/>
    <n v="0.27576000000000001"/>
    <n v="0.52347798119999989"/>
    <n v="-0.24771798119999988"/>
    <n v="0"/>
    <n v="3"/>
    <n v="0.5"/>
    <s v="Average"/>
  </r>
  <r>
    <s v="Chipotle Mexican Grill, Inc."/>
    <s v="CMG"/>
    <x v="52"/>
    <n v="8.652E-2"/>
    <n v="0.19883250750000001"/>
    <n v="-0.11231250750000001"/>
    <n v="0"/>
    <n v="0.22"/>
    <n v="0.157"/>
    <n v="6.3E-2"/>
    <n v="1"/>
    <n v="1.581"/>
    <n v="1.3137500000000002"/>
    <n v="0.26724999999999977"/>
    <n v="1"/>
    <n v="8.2070000000000004E-2"/>
    <n v="0.13219250124999998"/>
    <n v="-5.0122501249999979E-2"/>
    <n v="0"/>
    <n v="153.232"/>
    <n v="38.308"/>
    <n v="114.92400000000001"/>
    <n v="1"/>
    <n v="0.30247997999999998"/>
    <n v="0.30247997999999998"/>
    <n v="0"/>
    <n v="0"/>
    <n v="3"/>
    <n v="0.5"/>
    <s v="Average"/>
  </r>
  <r>
    <s v="AFLAC Incorporated"/>
    <s v="AFL"/>
    <x v="53"/>
    <n v="0.18766000999999999"/>
    <n v="0.13010667000000001"/>
    <n v="5.7553339999999981E-2"/>
    <n v="1"/>
    <n v="-7.5999999999999998E-2"/>
    <n v="-4.3333333333333335E-2"/>
    <n v="-3.2666666666666663E-2"/>
    <n v="0"/>
    <n v="0.68400000000000005"/>
    <n v="0.97266666666666668"/>
    <n v="-0.28866666666666663"/>
    <n v="0"/>
    <n v="2.1569999999999999E-2"/>
    <n v="1.1779999999999999E-2"/>
    <n v="9.7900000000000001E-3"/>
    <n v="1"/>
    <n v="32.579000000000001"/>
    <n v="81.62866666666666"/>
    <n v="-49.04966666666666"/>
    <n v="0"/>
    <n v="0.12836"/>
    <n v="0.10791000133333332"/>
    <n v="2.0449998666666677E-2"/>
    <n v="1"/>
    <n v="3"/>
    <n v="0.5"/>
    <s v="Average"/>
  </r>
  <r>
    <s v="Monster Beverage Corporation"/>
    <s v="MNST"/>
    <x v="48"/>
    <n v="0.28760000000000002"/>
    <n v="0.20896999666666669"/>
    <n v="7.8630003333333337E-2"/>
    <n v="1"/>
    <n v="0.13200000000000001"/>
    <n v="0.13633333333333333"/>
    <n v="-4.3333333333333279E-3"/>
    <n v="0"/>
    <n v="4.702"/>
    <n v="2.3876666666666666"/>
    <n v="2.3143333333333334"/>
    <n v="1"/>
    <n v="0.16991000000000001"/>
    <n v="0.10935333466666668"/>
    <n v="6.0556665333333329E-2"/>
    <n v="1"/>
    <n v="0.318"/>
    <n v="143.72033333333331"/>
    <n v="-143.4023333333333"/>
    <n v="0"/>
    <n v="0.28100999999999998"/>
    <n v="0.41078666000000003"/>
    <n v="-0.12977666000000004"/>
    <n v="0"/>
    <n v="3"/>
    <n v="0.5"/>
    <s v="Average"/>
  </r>
  <r>
    <s v="MSCI Inc"/>
    <s v="MSCI"/>
    <x v="50"/>
    <n v="0.35528999999999999"/>
    <n v="0.40717199600000004"/>
    <n v="-5.1881996000000041E-2"/>
    <n v="0"/>
    <n v="0.216"/>
    <n v="0.15279999999999999"/>
    <n v="6.3200000000000006E-2"/>
    <n v="1"/>
    <n v="1.8169999999999999"/>
    <n v="1.5326"/>
    <n v="0.28439999999999999"/>
    <n v="1"/>
    <n v="0.14132"/>
    <n v="0.10174799999999999"/>
    <n v="3.957200000000001E-2"/>
    <n v="1"/>
    <n v="0"/>
    <n v="95.873400000000004"/>
    <n v="-95.873400000000004"/>
    <n v="0"/>
    <m/>
    <n v="0.48719750249999999"/>
    <n v="-0.48719750249999999"/>
    <n v="0"/>
    <n v="3"/>
    <n v="0.5"/>
    <s v="Average"/>
  </r>
  <r>
    <s v="Parker-Hannifin Corporation"/>
    <s v="PH"/>
    <x v="1"/>
    <n v="0.1188"/>
    <n v="0.12041000057142859"/>
    <n v="-1.6100005714285853E-3"/>
    <n v="0"/>
    <n v="0.121"/>
    <n v="7.0857142857142855E-2"/>
    <n v="5.0142857142857142E-2"/>
    <n v="1"/>
    <n v="1.504"/>
    <n v="1.4689999999999999"/>
    <n v="3.5000000000000142E-2"/>
    <n v="1"/>
    <n v="8.0010003999999996E-2"/>
    <n v="6.6908572285714271E-2"/>
    <n v="1.3101431714285725E-2"/>
    <n v="1"/>
    <n v="96.394999999999996"/>
    <n v="107.70214285714285"/>
    <n v="-11.30714285714285"/>
    <n v="0"/>
    <n v="0.22874"/>
    <n v="0.26455856971428571"/>
    <n v="-3.5818569714285708E-2"/>
    <n v="0"/>
    <n v="3"/>
    <n v="0.5"/>
    <s v="Average"/>
  </r>
  <r>
    <s v="Dollar Tree, Inc."/>
    <s v="DLTR"/>
    <x v="16"/>
    <n v="5.2929999999999998E-2"/>
    <n v="4.7955999999999999E-2"/>
    <n v="4.9739999999999993E-3"/>
    <n v="1"/>
    <n v="3.9E-2"/>
    <n v="7.6399999999999996E-2"/>
    <n v="-3.7399999999999996E-2"/>
    <n v="0"/>
    <n v="1.252"/>
    <n v="1.0478000000000001"/>
    <n v="0.20419999999999994"/>
    <n v="1"/>
    <n v="5.8650000000000001E-2"/>
    <n v="7.6300002000000006E-2"/>
    <n v="-1.7650002000000005E-2"/>
    <n v="0"/>
    <n v="134.864"/>
    <n v="118.09080000000002"/>
    <n v="16.773199999999989"/>
    <n v="1"/>
    <n v="0.19379999000000001"/>
    <n v="0.30520200399999997"/>
    <n v="-0.11140201399999997"/>
    <n v="0"/>
    <n v="3"/>
    <n v="0.5"/>
    <s v="Average"/>
  </r>
  <r>
    <s v="ResMed Inc."/>
    <s v="RMD"/>
    <x v="11"/>
    <n v="0.14923"/>
    <n v="0.16214249875"/>
    <n v="-1.2912498750000001E-2"/>
    <n v="0"/>
    <n v="0.20200000000000001"/>
    <n v="0.13175000000000001"/>
    <n v="7.0250000000000007E-2"/>
    <n v="1"/>
    <n v="2.5409999999999999"/>
    <n v="2.8327499999999999"/>
    <n v="-0.29174999999999995"/>
    <n v="0"/>
    <n v="0.12869"/>
    <n v="8.047999950000001E-2"/>
    <n v="4.8210000499999989E-2"/>
    <n v="1"/>
    <n v="31.398"/>
    <n v="45.386000000000003"/>
    <n v="-13.988000000000003"/>
    <n v="0"/>
    <n v="0.17519999999999999"/>
    <n v="0.140782501"/>
    <n v="3.441749899999999E-2"/>
    <n v="1"/>
    <n v="3"/>
    <n v="0.5"/>
    <s v="Average"/>
  </r>
  <r>
    <s v="Arthur J. Gallagher &amp; Co."/>
    <s v="AJG"/>
    <x v="13"/>
    <n v="0.12168"/>
    <n v="0.11870000133333335"/>
    <n v="2.97999866666665E-3"/>
    <n v="1"/>
    <n v="0.16500000000000001"/>
    <n v="0.1536666666666667"/>
    <n v="1.1333333333333306E-2"/>
    <n v="1"/>
    <n v="1.298"/>
    <n v="1.2033333333333334"/>
    <n v="9.4666666666666677E-2"/>
    <n v="1"/>
    <n v="3.5560000000000001E-2"/>
    <n v="5.4233333333333335E-2"/>
    <n v="-1.8673333333333333E-2"/>
    <n v="0"/>
    <n v="68.385999999999996"/>
    <n v="199.41466666666668"/>
    <n v="-131.02866666666668"/>
    <n v="0"/>
    <n v="0.13818"/>
    <n v="0.25839666666666666"/>
    <n v="-0.12021666666666667"/>
    <n v="0"/>
    <n v="3"/>
    <n v="0.5"/>
    <s v="Average"/>
  </r>
  <r>
    <s v="Alphabet Inc."/>
    <s v="GOOG"/>
    <x v="27"/>
    <n v="0.29511999999999999"/>
    <n v="0.30802665999999995"/>
    <n v="-1.2906659999999959E-2"/>
    <n v="0"/>
    <n v="0.32400000000000001"/>
    <n v="0.28233333333333333"/>
    <n v="4.1666666666666685E-2"/>
    <n v="1"/>
    <n v="2.9279999999999999"/>
    <n v="3.0033333333333334"/>
    <n v="-7.5333333333333474E-2"/>
    <n v="0"/>
    <n v="0.14493"/>
    <n v="0.15650333666666669"/>
    <n v="-1.1573336666666684E-2"/>
    <n v="0"/>
    <n v="11.329000000000001"/>
    <n v="11.410666666666666"/>
    <n v="-8.1666666666665222E-2"/>
    <n v="0"/>
    <n v="0.32068999999999998"/>
    <n v="0.31746666666666662"/>
    <n v="3.2233333333333558E-3"/>
    <n v="1"/>
    <n v="2"/>
    <n v="0.33333333333333331"/>
    <s v="Weak"/>
  </r>
  <r>
    <s v="Alphabet Inc."/>
    <s v="GOOGL"/>
    <x v="27"/>
    <n v="0.29511999999999999"/>
    <n v="0.30802665999999995"/>
    <n v="-1.2906659999999959E-2"/>
    <n v="0"/>
    <n v="0.32400000000000001"/>
    <n v="0.28233333333333333"/>
    <n v="4.1666666666666685E-2"/>
    <n v="1"/>
    <n v="2.9279999999999999"/>
    <n v="3.0033333333333334"/>
    <n v="-7.5333333333333474E-2"/>
    <n v="0"/>
    <n v="0.14493"/>
    <n v="0.15650333666666669"/>
    <n v="-1.1573336666666684E-2"/>
    <n v="0"/>
    <n v="11.329000000000001"/>
    <n v="11.410666666666666"/>
    <n v="-8.1666666666665222E-2"/>
    <n v="0"/>
    <n v="0.32068999999999998"/>
    <n v="0.31746666666666662"/>
    <n v="3.2233333333333558E-3"/>
    <n v="1"/>
    <n v="2"/>
    <n v="0.33333333333333331"/>
    <s v="Weak"/>
  </r>
  <r>
    <s v="Amazon.com, Inc."/>
    <s v="AMZN"/>
    <x v="46"/>
    <n v="7.1010000000000004E-2"/>
    <n v="0.57074999999999998"/>
    <n v="-0.49973999999999996"/>
    <n v="0"/>
    <n v="9.4E-2"/>
    <n v="0.10100000000000001"/>
    <n v="-7.0000000000000062E-3"/>
    <n v="0"/>
    <n v="1.1359999999999999"/>
    <n v="2.2444999999999999"/>
    <n v="-1.1085"/>
    <n v="0"/>
    <n v="4.1929998000000003E-2"/>
    <n v="5.9479999000000006E-2"/>
    <n v="-1.7550001000000003E-2"/>
    <n v="0"/>
    <n v="100.864"/>
    <n v="92.949000000000012"/>
    <n v="7.914999999999992"/>
    <n v="1"/>
    <n v="0.28805999999999998"/>
    <n v="0.28625999000000002"/>
    <n v="1.800009999999963E-3"/>
    <n v="1"/>
    <n v="2"/>
    <n v="0.33333333333333331"/>
    <s v="Weak"/>
  </r>
  <r>
    <s v="Exxon Mobil Corporation"/>
    <s v="XOM"/>
    <x v="54"/>
    <n v="8.2589999999999997E-2"/>
    <n v="9.1500004999999995E-2"/>
    <n v="-8.9100049999999986E-3"/>
    <n v="0"/>
    <n v="0.79400000000000004"/>
    <n v="0.82000000000000006"/>
    <n v="-2.6000000000000023E-2"/>
    <n v="0"/>
    <n v="1.044"/>
    <n v="1.044"/>
    <n v="0"/>
    <n v="0"/>
    <n v="4.9840003000000001E-2"/>
    <n v="4.9840003000000001E-2"/>
    <n v="0"/>
    <n v="0"/>
    <n v="30.184000000000001"/>
    <n v="28.75"/>
    <n v="1.4340000000000011"/>
    <n v="1"/>
    <n v="0.13889000000000001"/>
    <n v="0.127670002"/>
    <n v="1.1219998000000009E-2"/>
    <n v="1"/>
    <n v="2"/>
    <n v="0.33333333333333331"/>
    <s v="Weak"/>
  </r>
  <r>
    <s v="Chevron Corporation"/>
    <s v="CVX"/>
    <x v="54"/>
    <n v="0.10041000999999999"/>
    <n v="9.1500004999999995E-2"/>
    <n v="8.9100049999999986E-3"/>
    <n v="1"/>
    <n v="0.84599999999999997"/>
    <n v="0.82000000000000006"/>
    <n v="2.5999999999999912E-2"/>
    <n v="1"/>
    <m/>
    <n v="1.044"/>
    <n v="-1.044"/>
    <n v="0"/>
    <m/>
    <n v="4.9840003000000001E-2"/>
    <n v="-4.9840003000000001E-2"/>
    <n v="0"/>
    <n v="27.315999999999999"/>
    <n v="28.75"/>
    <n v="-1.4340000000000011"/>
    <n v="0"/>
    <n v="0.116450004"/>
    <n v="0.127670002"/>
    <n v="-1.1219998000000009E-2"/>
    <n v="0"/>
    <n v="2"/>
    <n v="0.33333333333333331"/>
    <s v="Weak"/>
  </r>
  <r>
    <s v="Pfizer, Inc."/>
    <s v="PFE"/>
    <x v="28"/>
    <n v="0.28683999999999998"/>
    <n v="0.21304124999999996"/>
    <n v="7.3798750000000024E-2"/>
    <n v="1"/>
    <n v="1.3440000000000001"/>
    <n v="0.270125"/>
    <n v="1.0738750000000001"/>
    <n v="1"/>
    <n v="1.385"/>
    <n v="1.4105714285714286"/>
    <n v="-2.5571428571428578E-2"/>
    <n v="0"/>
    <n v="7.7770000000000006E-2"/>
    <n v="9.5184285714285721E-2"/>
    <n v="-1.7414285714285715E-2"/>
    <n v="0"/>
    <n v="52.496000000000002"/>
    <n v="212.02399999999994"/>
    <n v="-159.52799999999993"/>
    <n v="0"/>
    <n v="0.27746999999999999"/>
    <n v="0.47294625624999997"/>
    <n v="-0.19547625624999998"/>
    <n v="0"/>
    <n v="2"/>
    <n v="0.33333333333333331"/>
    <s v="Weak"/>
  </r>
  <r>
    <s v="AbbVie Inc."/>
    <s v="ABBV"/>
    <x v="28"/>
    <n v="0.20538001"/>
    <n v="0.21304124999999996"/>
    <n v="-7.6612399999999581E-3"/>
    <n v="0"/>
    <n v="7.3999999999999996E-2"/>
    <n v="0.270125"/>
    <n v="-0.19612499999999999"/>
    <n v="0"/>
    <m/>
    <n v="1.4105714285714286"/>
    <n v="-1.4105714285714286"/>
    <n v="0"/>
    <m/>
    <n v="9.5184285714285721E-2"/>
    <n v="-9.5184285714285721E-2"/>
    <n v="0"/>
    <n v="594.66"/>
    <n v="212.02399999999994"/>
    <n v="382.63600000000002"/>
    <n v="1"/>
    <n v="0.86594002999999997"/>
    <n v="0.47294625624999997"/>
    <n v="0.39299377375"/>
    <n v="1"/>
    <n v="2"/>
    <n v="0.33333333333333331"/>
    <s v="Weak"/>
  </r>
  <r>
    <s v="Walt Disney Company (The)"/>
    <s v="DIS"/>
    <x v="31"/>
    <n v="2.9590001000000001E-2"/>
    <n v="0.10431499775"/>
    <n v="-7.4724996749999995E-2"/>
    <n v="0"/>
    <n v="0.26"/>
    <n v="0.17549999999999999"/>
    <n v="8.450000000000002E-2"/>
    <n v="1"/>
    <n v="1.083"/>
    <n v="0.89124999999999999"/>
    <n v="0.19174999999999998"/>
    <n v="1"/>
    <n v="1.07700005E-2"/>
    <n v="5.0625000125E-2"/>
    <n v="-3.9854999624999998E-2"/>
    <n v="0"/>
    <n v="57.043999999999997"/>
    <n v="174.17824999999999"/>
    <n v="-117.13424999999999"/>
    <n v="0"/>
    <n v="2.5390000999999999E-2"/>
    <n v="0.18733000275"/>
    <n v="-0.16194000175000001"/>
    <n v="0"/>
    <n v="2"/>
    <n v="0.33333333333333331"/>
    <s v="Weak"/>
  </r>
  <r>
    <s v="Pepsico, Inc."/>
    <s v="PEP"/>
    <x v="48"/>
    <n v="0.10617"/>
    <n v="0.20896999666666669"/>
    <n v="-0.10279999666666668"/>
    <n v="0"/>
    <n v="0.11600000000000001"/>
    <n v="0.13633333333333333"/>
    <n v="-2.0333333333333328E-2"/>
    <n v="0"/>
    <n v="0.94499999999999995"/>
    <n v="2.3876666666666666"/>
    <n v="-1.4426666666666668"/>
    <n v="0"/>
    <n v="7.9840004000000006E-2"/>
    <n v="0.10935333466666668"/>
    <n v="-2.9513330666666671E-2"/>
    <n v="0"/>
    <n v="258.017"/>
    <n v="143.72033333333331"/>
    <n v="114.29666666666668"/>
    <n v="1"/>
    <n v="0.55412996000000003"/>
    <n v="0.41078666000000003"/>
    <n v="0.14334330000000001"/>
    <n v="1"/>
    <n v="2"/>
    <n v="0.33333333333333331"/>
    <s v="Weak"/>
  </r>
  <r>
    <s v="Danaher Corporation"/>
    <s v="DHR"/>
    <x v="39"/>
    <n v="0.21840999999999999"/>
    <n v="0.18452167"/>
    <n v="3.3888329999999994E-2"/>
    <n v="1"/>
    <n v="0.20499999999999999"/>
    <n v="0.17683333333333331"/>
    <n v="2.8166666666666673E-2"/>
    <n v="1"/>
    <n v="1.431"/>
    <n v="1.6713333333333333"/>
    <n v="-0.24033333333333329"/>
    <n v="0"/>
    <n v="6.4070000000000002E-2"/>
    <n v="9.1146667000000001E-2"/>
    <n v="-2.7076666999999999E-2"/>
    <n v="0"/>
    <n v="51.512999999999998"/>
    <n v="96.502166666666668"/>
    <n v="-44.989166666666669"/>
    <n v="0"/>
    <n v="0.14942000999999999"/>
    <n v="0.32766498833333335"/>
    <n v="-0.17824497833333336"/>
    <n v="0"/>
    <n v="2"/>
    <n v="0.33333333333333331"/>
    <s v="Weak"/>
  </r>
  <r>
    <s v="Adobe Inc."/>
    <s v="ADBE"/>
    <x v="3"/>
    <n v="0.30547999999999997"/>
    <n v="0.26349400199999995"/>
    <n v="4.1985998000000024E-2"/>
    <n v="1"/>
    <n v="0.2"/>
    <n v="0.2198"/>
    <n v="-1.9799999999999984E-2"/>
    <n v="0"/>
    <n v="1.248"/>
    <n v="1.6274000000000002"/>
    <n v="-0.37940000000000018"/>
    <n v="0"/>
    <n v="0.14076"/>
    <n v="0.10721799800000001"/>
    <n v="3.3542001999999987E-2"/>
    <n v="1"/>
    <n v="31.581"/>
    <n v="37.377800000000001"/>
    <n v="-5.7968000000000011"/>
    <n v="0"/>
    <n v="0.34367999999999999"/>
    <n v="0.40269748999999999"/>
    <n v="-5.9017490000000006E-2"/>
    <n v="0"/>
    <n v="2"/>
    <n v="0.33333333333333331"/>
    <s v="Weak"/>
  </r>
  <r>
    <s v="McDonald's Corporation"/>
    <s v="MCD"/>
    <x v="52"/>
    <n v="0.32490003000000001"/>
    <n v="0.19883250750000001"/>
    <n v="0.1260675225"/>
    <n v="1"/>
    <n v="0.13100000000000001"/>
    <n v="0.157"/>
    <n v="-2.5999999999999995E-2"/>
    <n v="0"/>
    <n v="1.778"/>
    <n v="1.3137500000000002"/>
    <n v="0.46424999999999983"/>
    <n v="1"/>
    <n v="0.1159"/>
    <n v="0.13219250124999998"/>
    <n v="-1.629250124999998E-2"/>
    <n v="0"/>
    <n v="0"/>
    <n v="38.308"/>
    <n v="-38.308"/>
    <n v="0"/>
    <m/>
    <n v="0.30247997999999998"/>
    <n v="-0.30247997999999998"/>
    <n v="0"/>
    <n v="2"/>
    <n v="0.33333333333333331"/>
    <s v="Weak"/>
  </r>
  <r>
    <s v="T-Mobile US, Inc."/>
    <s v="TMUS"/>
    <x v="0"/>
    <n v="3.7740000000000003E-2"/>
    <n v="6.9526670100000007E-2"/>
    <n v="-3.1786670100000004E-2"/>
    <n v="0"/>
    <n v="2.1999999999999999E-2"/>
    <n v="2.6666666666666644E-3"/>
    <n v="1.9333333333333334E-2"/>
    <n v="1"/>
    <n v="0.88900000000000001"/>
    <n v="0.85466666666666669"/>
    <n v="3.4333333333333327E-2"/>
    <n v="1"/>
    <n v="3.0710000000000001E-2"/>
    <n v="4.439333333333334E-2"/>
    <n v="-1.3683333333333339E-2"/>
    <n v="0"/>
    <n v="157.47300000000001"/>
    <n v="167.02766666666668"/>
    <n v="-9.5546666666666624"/>
    <n v="0"/>
    <n v="4.4979999999999999E-2"/>
    <n v="0.12344333333333335"/>
    <n v="-7.8463333333333357E-2"/>
    <n v="0"/>
    <n v="2"/>
    <n v="0.33333333333333331"/>
    <s v="Weak"/>
  </r>
  <r>
    <s v="Caterpillar, Inc."/>
    <s v="CAT"/>
    <x v="33"/>
    <n v="0.12731000000000001"/>
    <n v="0.13148500000000002"/>
    <n v="-4.175000000000012E-3"/>
    <n v="0"/>
    <n v="0.22800000000000001"/>
    <n v="0.19400000000000001"/>
    <n v="3.4000000000000002E-2"/>
    <n v="1"/>
    <n v="1.456"/>
    <n v="1.8240000000000001"/>
    <n v="-0.3680000000000001"/>
    <n v="0"/>
    <n v="5.3359999999999998E-2"/>
    <n v="5.8454999999999993E-2"/>
    <n v="-5.0949999999999954E-3"/>
    <n v="0"/>
    <n v="228.80199999999999"/>
    <n v="246.83299999999997"/>
    <n v="-18.030999999999977"/>
    <n v="0"/>
    <n v="0.40715997999999998"/>
    <n v="0.39367998999999998"/>
    <n v="1.3479989999999997E-2"/>
    <n v="1"/>
    <n v="2"/>
    <n v="0.33333333333333331"/>
    <s v="Weak"/>
  </r>
  <r>
    <s v="International Business Machines"/>
    <s v="IBM"/>
    <x v="7"/>
    <n v="6.4009999999999997E-2"/>
    <n v="8.1440000400000018E-2"/>
    <n v="-1.743000040000002E-2"/>
    <n v="0"/>
    <n v="3.0000000000000001E-3"/>
    <n v="0.12479999999999999"/>
    <n v="-0.12179999999999999"/>
    <n v="0"/>
    <n v="0.83599999999999997"/>
    <n v="1.1856"/>
    <n v="-0.34960000000000002"/>
    <n v="0"/>
    <n v="3.739E-2"/>
    <n v="5.8694001199999998E-2"/>
    <n v="-2.1304001199999999E-2"/>
    <n v="0"/>
    <n v="263.80099999999999"/>
    <n v="80.509399999999999"/>
    <n v="183.29159999999999"/>
    <n v="1"/>
    <n v="0.21405001000000001"/>
    <n v="0.15423999999999999"/>
    <n v="5.9810010000000025E-2"/>
    <n v="1"/>
    <n v="2"/>
    <n v="0.33333333333333331"/>
    <s v="Weak"/>
  </r>
  <r>
    <s v="General Electric Company"/>
    <s v="GE"/>
    <x v="1"/>
    <n v="-5.1999999999999995E-4"/>
    <n v="0.12041000057142859"/>
    <n v="-0.12093000057142859"/>
    <n v="0"/>
    <n v="-5.0000000000000001E-3"/>
    <n v="7.0857142857142855E-2"/>
    <n v="-7.5857142857142859E-2"/>
    <n v="0"/>
    <n v="1.796"/>
    <n v="1.4689999999999999"/>
    <n v="0.32700000000000018"/>
    <n v="1"/>
    <n v="4.5100000000000001E-3"/>
    <n v="6.6908572285714271E-2"/>
    <n v="-6.2398572285714271E-2"/>
    <n v="0"/>
    <n v="169.12299999999999"/>
    <n v="107.70214285714285"/>
    <n v="61.420857142857145"/>
    <n v="1"/>
    <n v="4.8779997999999998E-2"/>
    <n v="0.26455856971428571"/>
    <n v="-0.21577857171428572"/>
    <n v="0"/>
    <n v="2"/>
    <n v="0.33333333333333331"/>
    <s v="Weak"/>
  </r>
  <r>
    <s v="Automatic Data Processing, Inc."/>
    <s v="ADP"/>
    <x v="38"/>
    <n v="0.17480000000000001"/>
    <n v="0.23503499999999999"/>
    <n v="-6.0234999999999983E-2"/>
    <n v="0"/>
    <n v="8.8999999999999996E-2"/>
    <n v="0.108"/>
    <n v="-1.9000000000000003E-2"/>
    <n v="0"/>
    <n v="1.0409999999999999"/>
    <n v="1.1555"/>
    <n v="-0.11450000000000005"/>
    <n v="0"/>
    <n v="4.1329999999999999E-2"/>
    <n v="7.8070000000000001E-2"/>
    <n v="-3.6740000000000002E-2"/>
    <n v="0"/>
    <n v="68.328000000000003"/>
    <n v="48.477499999999999"/>
    <n v="19.850500000000004"/>
    <n v="1"/>
    <n v="0.50117"/>
    <n v="0.46344499"/>
    <n v="3.7725010000000003E-2"/>
    <n v="1"/>
    <n v="2"/>
    <n v="0.33333333333333331"/>
    <s v="Weak"/>
  </r>
  <r>
    <s v="Duke Energy Corporation (Holdin"/>
    <s v="DUK"/>
    <x v="17"/>
    <n v="0.12795000000000001"/>
    <n v="0.13919999833333332"/>
    <n v="-1.1249998333333316E-2"/>
    <n v="0"/>
    <n v="3.4000000000000002E-2"/>
    <n v="3.0333333333333337E-2"/>
    <n v="3.6666666666666653E-3"/>
    <n v="1"/>
    <n v="0.60699999999999998"/>
    <n v="0.65966666666666662"/>
    <n v="-5.2666666666666639E-2"/>
    <n v="0"/>
    <n v="2.2190000000000001E-2"/>
    <n v="2.127833375E-2"/>
    <n v="9.1166625000000182E-4"/>
    <n v="1"/>
    <n v="128.98099999999999"/>
    <n v="151.27916666666667"/>
    <n v="-22.298166666666674"/>
    <n v="0"/>
    <n v="5.5980000000000002E-2"/>
    <n v="8.0088333333333345E-2"/>
    <n v="-2.4108333333333343E-2"/>
    <n v="0"/>
    <n v="2"/>
    <n v="0.33333333333333331"/>
    <s v="Weak"/>
  </r>
  <r>
    <s v="Cigna Corporation"/>
    <s v="CI"/>
    <x v="8"/>
    <n v="4.9200002E-2"/>
    <n v="3.6041667333333326E-2"/>
    <n v="1.3158334666666674E-2"/>
    <n v="1"/>
    <n v="8.2000000000000003E-2"/>
    <n v="0.11366666666666668"/>
    <n v="-3.1666666666666676E-2"/>
    <n v="0"/>
    <n v="0.7"/>
    <n v="1.1100000000000001"/>
    <n v="-0.41000000000000014"/>
    <n v="0"/>
    <n v="3.2849999999999997E-2"/>
    <n v="4.6496666166666666E-2"/>
    <n v="-1.3646666166666668E-2"/>
    <n v="0"/>
    <n v="73.536000000000001"/>
    <n v="78.132333333333335"/>
    <n v="-4.5963333333333338"/>
    <n v="0"/>
    <n v="0.17627001"/>
    <n v="0.14621000233333331"/>
    <n v="3.0060007666666694E-2"/>
    <n v="1"/>
    <n v="2"/>
    <n v="0.33333333333333331"/>
    <s v="Weak"/>
  </r>
  <r>
    <s v="Intercontinental Exchange Inc."/>
    <s v="ICE"/>
    <x v="50"/>
    <n v="0.43814999999999998"/>
    <n v="0.40717199600000004"/>
    <n v="3.0978003999999948E-2"/>
    <n v="1"/>
    <n v="0.27700000000000002"/>
    <n v="0.15279999999999999"/>
    <n v="0.12420000000000003"/>
    <n v="1"/>
    <n v="1.006"/>
    <n v="1.5326"/>
    <n v="-0.52659999999999996"/>
    <n v="0"/>
    <n v="1.5299999999999999E-2"/>
    <n v="0.10174799999999999"/>
    <n v="-8.6447999999999997E-2"/>
    <n v="0"/>
    <n v="66.88"/>
    <n v="95.873400000000004"/>
    <n v="-28.993400000000008"/>
    <n v="0"/>
    <n v="0.15029999999999999"/>
    <n v="0.48719750249999999"/>
    <n v="-0.3368975025"/>
    <n v="0"/>
    <n v="2"/>
    <n v="0.33333333333333331"/>
    <s v="Weak"/>
  </r>
  <r>
    <s v="Crown Castle International Corp"/>
    <s v="CCI"/>
    <x v="10"/>
    <n v="0.17287000999999999"/>
    <n v="0.16090750249999999"/>
    <n v="1.1962507499999997E-2"/>
    <n v="1"/>
    <n v="0.108"/>
    <n v="0.14150000000000001"/>
    <n v="-3.3500000000000016E-2"/>
    <n v="0"/>
    <n v="0.61899999999999999"/>
    <n v="0.92549999999999988"/>
    <n v="-0.30649999999999988"/>
    <n v="0"/>
    <n v="3.2500000000000001E-2"/>
    <n v="3.8689999999999995E-2"/>
    <n v="-6.1899999999999941E-3"/>
    <n v="0"/>
    <n v="327.065"/>
    <n v="226.1405"/>
    <n v="100.92449999999999"/>
    <n v="1"/>
    <n v="0.13070999999999999"/>
    <n v="0.17198999999999998"/>
    <n v="-4.1279999999999983E-2"/>
    <n v="0"/>
    <n v="2"/>
    <n v="0.33333333333333331"/>
    <s v="Weak"/>
  </r>
  <r>
    <s v="Gilead Sciences, Inc."/>
    <s v="GILD"/>
    <x v="28"/>
    <n v="0.26905000000000001"/>
    <n v="0.21304124999999996"/>
    <n v="5.6008750000000052E-2"/>
    <n v="1"/>
    <n v="0.128"/>
    <n v="0.270125"/>
    <n v="-0.142125"/>
    <n v="0"/>
    <n v="1.3660000000000001"/>
    <n v="1.4105714285714286"/>
    <n v="-4.4571428571428484E-2"/>
    <n v="0"/>
    <n v="0.12683"/>
    <n v="9.5184285714285721E-2"/>
    <n v="3.1645714285714277E-2"/>
    <n v="1"/>
    <n v="128.946"/>
    <n v="212.02399999999994"/>
    <n v="-83.077999999999946"/>
    <n v="0"/>
    <n v="0.37846002000000001"/>
    <n v="0.47294625624999997"/>
    <n v="-9.4486236249999966E-2"/>
    <n v="0"/>
    <n v="2"/>
    <n v="0.33333333333333331"/>
    <s v="Weak"/>
  </r>
  <r>
    <s v="Aon plc"/>
    <s v="AON"/>
    <x v="13"/>
    <n v="7.5840004000000003E-2"/>
    <n v="0.11870000133333335"/>
    <n v="-4.2859997333333344E-2"/>
    <n v="0"/>
    <n v="0.13300000000000001"/>
    <n v="0.1536666666666667"/>
    <n v="-2.0666666666666694E-2"/>
    <n v="0"/>
    <n v="1.07"/>
    <n v="1.2033333333333334"/>
    <n v="-0.1333333333333333"/>
    <n v="0"/>
    <n v="3.9059999999999997E-2"/>
    <n v="5.4233333333333335E-2"/>
    <n v="-1.5173333333333337E-2"/>
    <n v="0"/>
    <n v="412.57100000000003"/>
    <n v="199.41466666666668"/>
    <n v="213.15633333333335"/>
    <n v="1"/>
    <n v="0.32707999999999998"/>
    <n v="0.25839666666666666"/>
    <n v="6.8683333333333318E-2"/>
    <n v="1"/>
    <n v="2"/>
    <n v="0.33333333333333331"/>
    <s v="Weak"/>
  </r>
  <r>
    <s v="Progressive Corporation (The)"/>
    <s v="PGR"/>
    <x v="26"/>
    <n v="7.0279999999999995E-2"/>
    <n v="0.10666250150000001"/>
    <n v="-3.6382501500000011E-2"/>
    <n v="0"/>
    <n v="9.4E-2"/>
    <n v="0.12125000000000001"/>
    <n v="-2.725000000000001E-2"/>
    <n v="0"/>
    <n v="0.34"/>
    <n v="0.36975000000000002"/>
    <n v="-2.9749999999999999E-2"/>
    <n v="0"/>
    <n v="4.0930000000000001E-2"/>
    <n v="3.255500075E-2"/>
    <n v="8.3749992500000009E-3"/>
    <n v="1"/>
    <n v="27.861999999999998"/>
    <n v="29.932749999999999"/>
    <n v="-2.0707500000000003"/>
    <n v="0"/>
    <n v="0.19001000000000001"/>
    <n v="0.16450249750000001"/>
    <n v="2.5507502500000001E-2"/>
    <n v="1"/>
    <n v="2"/>
    <n v="0.33333333333333331"/>
    <s v="Weak"/>
  </r>
  <r>
    <s v="FedEx Corporation"/>
    <s v="FDX"/>
    <x v="29"/>
    <n v="5.4890000000000001E-2"/>
    <n v="6.1605000000000007E-2"/>
    <n v="-6.7150000000000057E-3"/>
    <n v="0"/>
    <n v="0.14199999999999999"/>
    <n v="0.11699999999999999"/>
    <n v="2.4999999999999994E-2"/>
    <n v="1"/>
    <n v="1.494"/>
    <n v="1.4849999999999999"/>
    <n v="9.000000000000119E-3"/>
    <n v="1"/>
    <n v="5.9130000000000002E-2"/>
    <n v="6.8404999999999994E-2"/>
    <n v="-9.2749999999999916E-3"/>
    <n v="0"/>
    <n v="147.66999999999999"/>
    <n v="180.0265"/>
    <n v="-32.356500000000011"/>
    <n v="0"/>
    <n v="0.21384001"/>
    <n v="0.472089975"/>
    <n v="-0.25824996499999997"/>
    <n v="0"/>
    <n v="2"/>
    <n v="0.33333333333333331"/>
    <s v="Weak"/>
  </r>
  <r>
    <s v="MetLife, Inc."/>
    <s v="MET"/>
    <x v="53"/>
    <n v="7.8210000000000002E-2"/>
    <n v="0.13010667000000001"/>
    <n v="-5.1896670000000006E-2"/>
    <n v="0"/>
    <n v="5.6000000000000001E-2"/>
    <n v="-4.3333333333333335E-2"/>
    <n v="9.9333333333333329E-2"/>
    <n v="1"/>
    <n v="0.96899999999999997"/>
    <n v="0.97266666666666668"/>
    <n v="-3.6666666666667069E-3"/>
    <n v="0"/>
    <n v="6.4099999999999999E-3"/>
    <n v="1.1779999999999999E-2"/>
    <n v="-5.3699999999999989E-3"/>
    <n v="0"/>
    <n v="157.91499999999999"/>
    <n v="81.62866666666666"/>
    <n v="76.286333333333332"/>
    <n v="1"/>
    <n v="7.7280000000000001E-2"/>
    <n v="0.10791000133333332"/>
    <n v="-3.0630001333333323E-2"/>
    <n v="0"/>
    <n v="2"/>
    <n v="0.33333333333333331"/>
    <s v="Weak"/>
  </r>
  <r>
    <s v="Centene Corporation"/>
    <s v="CNC"/>
    <x v="8"/>
    <n v="1.14E-2"/>
    <n v="3.6041667333333326E-2"/>
    <n v="-2.4641667333333325E-2"/>
    <n v="0"/>
    <n v="0.152"/>
    <n v="0.11366666666666668"/>
    <n v="3.8333333333333316E-2"/>
    <n v="1"/>
    <n v="1.1060000000000001"/>
    <n v="1.1100000000000001"/>
    <n v="-4.0000000000000036E-3"/>
    <n v="0"/>
    <n v="3.1280000000000002E-2"/>
    <n v="4.6496666166666666E-2"/>
    <n v="-1.5216666166666663E-2"/>
    <n v="0"/>
    <n v="83.861000000000004"/>
    <n v="78.132333333333335"/>
    <n v="5.728666666666669"/>
    <n v="1"/>
    <n v="5.0430004E-2"/>
    <n v="0.14621000233333331"/>
    <n v="-9.577999833333331E-2"/>
    <n v="0"/>
    <n v="2"/>
    <n v="0.33333333333333331"/>
    <s v="Weak"/>
  </r>
  <r>
    <s v="Roper Technologies, Inc."/>
    <s v="ROP"/>
    <x v="1"/>
    <n v="0.19949"/>
    <n v="0.12041000057142859"/>
    <n v="7.9079999428571413E-2"/>
    <n v="1"/>
    <n v="0.13200000000000001"/>
    <n v="7.0857142857142855E-2"/>
    <n v="6.1142857142857152E-2"/>
    <n v="1"/>
    <n v="0.77600000000000002"/>
    <n v="1.4689999999999999"/>
    <n v="-0.69299999999999984"/>
    <n v="0"/>
    <n v="4.1360002E-2"/>
    <n v="6.6908572285714271E-2"/>
    <n v="-2.5548570285714271E-2"/>
    <n v="0"/>
    <n v="70.513999999999996"/>
    <n v="107.70214285714285"/>
    <n v="-37.18814285714285"/>
    <n v="0"/>
    <n v="8.9149999999999993E-2"/>
    <n v="0.26455856971428571"/>
    <n v="-0.1754085697142857"/>
    <n v="0"/>
    <n v="2"/>
    <n v="0.33333333333333331"/>
    <s v="Weak"/>
  </r>
  <r>
    <s v="O'Reilly Automotive, Inc."/>
    <s v="ORLY"/>
    <x v="55"/>
    <n v="0.15847"/>
    <n v="0.154615"/>
    <n v="3.8549999999999973E-3"/>
    <n v="1"/>
    <n v="8.5000000000000006E-2"/>
    <n v="0.124"/>
    <n v="-3.8999999999999993E-2"/>
    <n v="0"/>
    <n v="0.76200000000000001"/>
    <n v="0.77350000000000008"/>
    <n v="-1.1500000000000066E-2"/>
    <n v="0"/>
    <n v="0.14299000000000001"/>
    <n v="0.13881500000000002"/>
    <n v="4.1749999999999843E-3"/>
    <n v="1"/>
    <n v="0"/>
    <n v="0"/>
    <n v="0"/>
    <n v="0"/>
    <n v="7.1736700000000004"/>
    <n v="7.1736700000000004"/>
    <n v="0"/>
    <n v="0"/>
    <n v="2"/>
    <n v="0.33333333333333331"/>
    <s v="Weak"/>
  </r>
  <r>
    <s v="Prudential Financial, Inc."/>
    <s v="PRU"/>
    <x v="53"/>
    <n v="0.12445000000000001"/>
    <n v="0.13010667000000001"/>
    <n v="-5.6566700000000025E-3"/>
    <n v="0"/>
    <n v="-0.11"/>
    <n v="-4.3333333333333335E-2"/>
    <n v="-6.6666666666666666E-2"/>
    <n v="0"/>
    <n v="1.2649999999999999"/>
    <n v="0.97266666666666668"/>
    <n v="0.29233333333333322"/>
    <n v="1"/>
    <n v="7.3600000000000002E-3"/>
    <n v="1.1779999999999999E-2"/>
    <n v="-4.4199999999999986E-3"/>
    <n v="0"/>
    <n v="54.392000000000003"/>
    <n v="81.62866666666666"/>
    <n v="-27.236666666666657"/>
    <n v="0"/>
    <n v="0.118090004"/>
    <n v="0.10791000133333332"/>
    <n v="1.0180002666666674E-2"/>
    <n v="1"/>
    <n v="2"/>
    <n v="0.33333333333333331"/>
    <s v="Weak"/>
  </r>
  <r>
    <s v="IQVIA Holdings, Inc."/>
    <s v="IQV"/>
    <x v="39"/>
    <n v="5.6660000000000002E-2"/>
    <n v="0.18452167"/>
    <n v="-0.12786166999999998"/>
    <n v="0"/>
    <n v="0.217"/>
    <n v="0.17683333333333331"/>
    <n v="4.0166666666666684E-2"/>
    <n v="1"/>
    <n v="0.93500000000000005"/>
    <n v="1.6713333333333333"/>
    <n v="-0.73633333333333328"/>
    <n v="0"/>
    <n v="3.2980002000000001E-2"/>
    <n v="9.1146667000000001E-2"/>
    <n v="-5.8166664999999999E-2"/>
    <n v="0"/>
    <n v="215.011"/>
    <n v="96.502166666666668"/>
    <n v="118.50883333333333"/>
    <n v="1"/>
    <n v="0.13120000000000001"/>
    <n v="0.32766498833333335"/>
    <n v="-0.19646498833333334"/>
    <n v="0"/>
    <n v="2"/>
    <n v="0.33333333333333331"/>
    <s v="Weak"/>
  </r>
  <r>
    <s v="Kinder Morgan, Inc."/>
    <s v="KMI"/>
    <x v="41"/>
    <n v="0.11464000000000001"/>
    <n v="0.10838500000000001"/>
    <n v="6.2549999999999967E-3"/>
    <n v="1"/>
    <n v="0.31"/>
    <n v="0.39500000000000002"/>
    <n v="-8.500000000000002E-2"/>
    <n v="0"/>
    <n v="0.46100000000000002"/>
    <n v="0.52249999999999996"/>
    <n v="-6.1499999999999944E-2"/>
    <n v="0"/>
    <n v="3.9600000000000003E-2"/>
    <n v="3.6405001000000006E-2"/>
    <n v="3.194998999999997E-3"/>
    <n v="1"/>
    <n v="103.76"/>
    <n v="132.209"/>
    <n v="-28.448999999999998"/>
    <n v="0"/>
    <n v="5.6539997000000002E-2"/>
    <n v="6.5054998500000003E-2"/>
    <n v="-8.5150015000000009E-3"/>
    <n v="0"/>
    <n v="2"/>
    <n v="0.33333333333333331"/>
    <s v="Weak"/>
  </r>
  <r>
    <s v="Agilent Technologies, Inc."/>
    <s v="A"/>
    <x v="39"/>
    <n v="0.19148001000000001"/>
    <n v="0.18452167"/>
    <n v="6.9583400000000073E-3"/>
    <n v="1"/>
    <n v="0.11899999999999999"/>
    <n v="0.17683333333333331"/>
    <n v="-5.783333333333332E-2"/>
    <n v="0"/>
    <n v="2.2240000000000002"/>
    <n v="1.6713333333333333"/>
    <n v="0.55266666666666686"/>
    <n v="1"/>
    <n v="8.6319999999999994E-2"/>
    <n v="9.1146667000000001E-2"/>
    <n v="-4.8266670000000067E-3"/>
    <n v="0"/>
    <n v="54.017000000000003"/>
    <n v="96.502166666666668"/>
    <n v="-42.485166666666665"/>
    <n v="0"/>
    <n v="0.23582001"/>
    <n v="0.32766498833333335"/>
    <n v="-9.1844978333333355E-2"/>
    <n v="0"/>
    <n v="2"/>
    <n v="0.33333333333333331"/>
    <s v="Weak"/>
  </r>
  <r>
    <s v="Kimberly-Clark Corporation"/>
    <s v="KMB"/>
    <x v="51"/>
    <n v="9.3310006000000001E-2"/>
    <n v="0.14528250400000001"/>
    <n v="-5.1972498000000006E-2"/>
    <n v="0"/>
    <n v="2.7E-2"/>
    <n v="8.475000000000002E-2"/>
    <n v="-5.7750000000000024E-2"/>
    <n v="0"/>
    <n v="0.82499999999999996"/>
    <n v="1.0912500000000001"/>
    <n v="-0.2662500000000001"/>
    <n v="0"/>
    <n v="0.10050000000000001"/>
    <n v="0.113515"/>
    <n v="-1.3014999999999999E-2"/>
    <n v="0"/>
    <n v="1237.856"/>
    <n v="560.26625000000001"/>
    <n v="677.58974999999998"/>
    <n v="1"/>
    <n v="2.2963900000000002"/>
    <n v="1.3491249999999999"/>
    <n v="0.94726500000000025"/>
    <n v="1"/>
    <n v="2"/>
    <n v="0.33333333333333331"/>
    <s v="Weak"/>
  </r>
  <r>
    <s v="AutoZone, Inc."/>
    <s v="AZO"/>
    <x v="55"/>
    <n v="0.15076000000000001"/>
    <n v="0.154615"/>
    <n v="-3.8549999999999973E-3"/>
    <n v="0"/>
    <n v="0.16300000000000001"/>
    <n v="0.124"/>
    <n v="3.9000000000000007E-2"/>
    <n v="1"/>
    <n v="0.78500000000000003"/>
    <n v="0.77350000000000008"/>
    <n v="1.1499999999999955E-2"/>
    <n v="1"/>
    <n v="0.13464000000000001"/>
    <n v="0.13881500000000002"/>
    <n v="-4.175000000000012E-3"/>
    <n v="0"/>
    <n v="0"/>
    <n v="0"/>
    <n v="0"/>
    <n v="0"/>
    <m/>
    <n v="7.1736700000000004"/>
    <n v="-7.1736700000000004"/>
    <n v="0"/>
    <n v="2"/>
    <n v="0.33333333333333331"/>
    <s v="Weak"/>
  </r>
  <r>
    <s v="Realty Income Corporation"/>
    <s v="O"/>
    <x v="40"/>
    <n v="0.17267999000000001"/>
    <n v="0.29133999499999996"/>
    <n v="-0.11866000499999996"/>
    <n v="0"/>
    <n v="0.64100000000000001"/>
    <n v="0.43149999999999999"/>
    <n v="0.20950000000000002"/>
    <n v="1"/>
    <n v="0.42799999999999999"/>
    <n v="0.41100000000000003"/>
    <n v="1.699999999999996E-2"/>
    <n v="1"/>
    <n v="1.865E-2"/>
    <n v="3.1074999999999998E-2"/>
    <n v="-1.2424999999999999E-2"/>
    <n v="0"/>
    <n v="61.451999999999998"/>
    <n v="325.38600000000002"/>
    <n v="-263.93400000000003"/>
    <n v="0"/>
    <n v="1.9960001000000002E-2"/>
    <n v="0.3579899755"/>
    <n v="-0.3380299745"/>
    <n v="0"/>
    <n v="2"/>
    <n v="0.33333333333333331"/>
    <s v="Weak"/>
  </r>
  <r>
    <s v="DuPont de Nemours, Inc."/>
    <s v="DD"/>
    <x v="43"/>
    <n v="0.29224001999999999"/>
    <n v="0.15536000333333333"/>
    <n v="0.13688001666666666"/>
    <n v="1"/>
    <n v="0.17699999999999999"/>
    <n v="0.21066666666666664"/>
    <n v="-3.366666666666665E-2"/>
    <n v="0"/>
    <n v="2.0129999999999999"/>
    <n v="1.6655"/>
    <n v="0.34749999999999992"/>
    <n v="1"/>
    <n v="2.6530001000000001E-2"/>
    <n v="6.7101666833333337E-2"/>
    <n v="-4.057166583333334E-2"/>
    <n v="0"/>
    <n v="40.603000000000002"/>
    <n v="123.15566666666665"/>
    <n v="-82.552666666666653"/>
    <n v="0"/>
    <n v="4.6420000000000003E-2"/>
    <n v="0.26484833499999999"/>
    <n v="-0.21842833499999997"/>
    <n v="0"/>
    <n v="2"/>
    <n v="0.33333333333333331"/>
    <s v="Weak"/>
  </r>
  <r>
    <s v="Motorola Solutions, Inc."/>
    <s v="MSI"/>
    <x v="49"/>
    <n v="0.15459999999999999"/>
    <n v="0.1895"/>
    <n v="-3.4900000000000014E-2"/>
    <n v="0"/>
    <n v="0.128"/>
    <n v="0.10450000000000001"/>
    <n v="2.3499999999999993E-2"/>
    <n v="1"/>
    <n v="1.381"/>
    <n v="1.4995000000000001"/>
    <n v="-0.11850000000000005"/>
    <n v="0"/>
    <n v="0.10668000599999999"/>
    <n v="9.932000299999999E-2"/>
    <n v="7.3600030000000038E-3"/>
    <n v="1"/>
    <n v="0"/>
    <n v="12.516"/>
    <n v="-12.516"/>
    <n v="0"/>
    <m/>
    <n v="0.28190001999999997"/>
    <n v="-0.28190001999999997"/>
    <n v="0"/>
    <n v="2"/>
    <n v="0.33333333333333331"/>
    <s v="Weak"/>
  </r>
  <r>
    <s v="Trane Technologies plc"/>
    <s v="TT"/>
    <x v="1"/>
    <n v="9.8229999999999998E-2"/>
    <n v="0.12041000057142859"/>
    <n v="-2.218000057142859E-2"/>
    <n v="0"/>
    <n v="6.4000000000000001E-2"/>
    <n v="7.0857142857142855E-2"/>
    <n v="-6.8571428571428533E-3"/>
    <n v="0"/>
    <n v="1.621"/>
    <n v="1.4689999999999999"/>
    <n v="0.15200000000000014"/>
    <n v="1"/>
    <n v="6.8849999999999995E-2"/>
    <n v="6.6908572285714271E-2"/>
    <n v="1.9414277142857234E-3"/>
    <n v="1"/>
    <n v="74.62"/>
    <n v="107.70214285714285"/>
    <n v="-33.082142857142841"/>
    <n v="0"/>
    <n v="0.21420998999999999"/>
    <n v="0.26455856971428571"/>
    <n v="-5.0348579714285718E-2"/>
    <n v="0"/>
    <n v="2"/>
    <n v="0.33333333333333331"/>
    <s v="Weak"/>
  </r>
  <r>
    <s v="Electronic Arts Inc."/>
    <s v="EA"/>
    <x v="36"/>
    <n v="0.122729994"/>
    <n v="0.20740999700000001"/>
    <n v="-8.4680003000000018E-2"/>
    <n v="0"/>
    <n v="0.58599999999999997"/>
    <n v="0.32250000000000001"/>
    <n v="0.26349999999999996"/>
    <n v="1"/>
    <n v="1.3149999999999999"/>
    <n v="3.4379999999999997"/>
    <n v="-2.1229999999999998"/>
    <n v="0"/>
    <n v="5.7119999999999997E-2"/>
    <n v="7.3480000000000004E-2"/>
    <n v="-1.6360000000000006E-2"/>
    <n v="0"/>
    <n v="27.94"/>
    <n v="24.61"/>
    <n v="3.3300000000000018"/>
    <n v="1"/>
    <n v="9.8549990000000004E-2"/>
    <n v="0.133660005"/>
    <n v="-3.5110014999999994E-2"/>
    <n v="0"/>
    <n v="2"/>
    <n v="0.33333333333333331"/>
    <s v="Weak"/>
  </r>
  <r>
    <s v="Yum! Brands, Inc."/>
    <s v="YUM"/>
    <x v="52"/>
    <n v="0.23922001000000001"/>
    <n v="0.19883250750000001"/>
    <n v="4.0387502500000005E-2"/>
    <n v="1"/>
    <n v="8.4000000000000005E-2"/>
    <n v="0.157"/>
    <n v="-7.2999999999999995E-2"/>
    <n v="0"/>
    <n v="1.083"/>
    <n v="1.3137500000000002"/>
    <n v="-0.23075000000000023"/>
    <n v="0"/>
    <n v="0.22603000000000001"/>
    <n v="0.13219250124999998"/>
    <n v="9.3837498750000026E-2"/>
    <n v="1"/>
    <n v="0"/>
    <n v="38.308"/>
    <n v="-38.308"/>
    <n v="0"/>
    <m/>
    <n v="0.30247997999999998"/>
    <n v="-0.30247997999999998"/>
    <n v="0"/>
    <n v="2"/>
    <n v="0.33333333333333331"/>
    <s v="Weak"/>
  </r>
  <r>
    <s v="Public Service Enterprise Group"/>
    <s v="PEG"/>
    <x v="21"/>
    <n v="-7.2999999999999995E-2"/>
    <n v="2.3503334666666667E-2"/>
    <n v="-9.6503334666666662E-2"/>
    <n v="0"/>
    <n v="-0.19700000000000001"/>
    <n v="-1.6999999999999998E-2"/>
    <n v="-0.18000000000000002"/>
    <n v="0"/>
    <n v="0.84099999999999997"/>
    <n v="0.71200000000000008"/>
    <n v="0.12899999999999989"/>
    <n v="1"/>
    <n v="2.034E-2"/>
    <n v="2.2789999333333335E-2"/>
    <n v="-2.4499993333333345E-3"/>
    <n v="0"/>
    <n v="141.98599999999999"/>
    <n v="123.89433333333334"/>
    <n v="18.091666666666654"/>
    <n v="1"/>
    <n v="-4.4269999999999997E-2"/>
    <n v="1.920666666666667E-2"/>
    <n v="-6.3476666666666667E-2"/>
    <n v="0"/>
    <n v="2"/>
    <n v="0.33333333333333331"/>
    <s v="Weak"/>
  </r>
  <r>
    <s v="T. Rowe Price Group, Inc."/>
    <s v="TROW"/>
    <x v="44"/>
    <n v="0.40183996999999999"/>
    <n v="0.30562332333333336"/>
    <n v="9.6216646666666628E-2"/>
    <n v="1"/>
    <n v="0.13200000000000001"/>
    <n v="0.156"/>
    <n v="-2.3999999999999994E-2"/>
    <n v="0"/>
    <n v="1.569"/>
    <n v="2.0716666666666668"/>
    <n v="-0.50266666666666682"/>
    <n v="0"/>
    <n v="0.20188998999999999"/>
    <n v="8.1486663333333334E-2"/>
    <n v="0.12040332666666666"/>
    <n v="1"/>
    <n v="3.5369999999999999"/>
    <n v="31.016666666666666"/>
    <n v="-27.479666666666667"/>
    <n v="0"/>
    <n v="0.31742999999999999"/>
    <n v="0.32167000000000001"/>
    <n v="-4.2400000000000215E-3"/>
    <n v="0"/>
    <n v="2"/>
    <n v="0.33333333333333331"/>
    <s v="Weak"/>
  </r>
  <r>
    <s v="Johnson &amp; Johnson"/>
    <s v="JNJ"/>
    <x v="28"/>
    <n v="0.22264"/>
    <n v="0.21304124999999996"/>
    <n v="9.5987500000000447E-3"/>
    <n v="1"/>
    <n v="0.104"/>
    <n v="0.270125"/>
    <n v="-0.16612500000000002"/>
    <n v="0"/>
    <n v="1.3480000000000001"/>
    <n v="1.4105714285714286"/>
    <n v="-6.25714285714285E-2"/>
    <n v="0"/>
    <n v="8.8419999999999999E-2"/>
    <n v="9.5184285714285721E-2"/>
    <n v="-6.7642857142857227E-3"/>
    <n v="0"/>
    <n v="46.945999999999998"/>
    <n v="212.02399999999994"/>
    <n v="-165.07799999999995"/>
    <n v="0"/>
    <n v="0.30412"/>
    <n v="0.47294625624999997"/>
    <n v="-0.16882625624999997"/>
    <n v="0"/>
    <n v="1"/>
    <n v="0.16666666666666666"/>
    <s v="Weak"/>
  </r>
  <r>
    <s v="Procter &amp; Gamble Company (The)"/>
    <s v="PG"/>
    <x v="51"/>
    <n v="0.1852"/>
    <n v="0.14528250400000001"/>
    <n v="3.9917495999999997E-2"/>
    <n v="1"/>
    <n v="6.0999999999999999E-2"/>
    <n v="8.475000000000002E-2"/>
    <n v="-2.3750000000000021E-2"/>
    <n v="0"/>
    <n v="0.67200000000000004"/>
    <n v="1.0912500000000001"/>
    <n v="-0.41925000000000001"/>
    <n v="0"/>
    <n v="9.5140000000000002E-2"/>
    <n v="0.113515"/>
    <n v="-1.8375000000000002E-2"/>
    <n v="0"/>
    <n v="79.418000000000006"/>
    <n v="560.26625000000001"/>
    <n v="-480.84825000000001"/>
    <n v="0"/>
    <n v="0.31091999999999997"/>
    <n v="1.3491249999999999"/>
    <n v="-1.038205"/>
    <n v="0"/>
    <n v="1"/>
    <n v="0.16666666666666666"/>
    <s v="Weak"/>
  </r>
  <r>
    <s v="Broadcom Inc."/>
    <s v="AVGO"/>
    <x v="4"/>
    <n v="0.24539"/>
    <n v="0.24659300000000001"/>
    <n v="-1.2030000000000096E-3"/>
    <n v="0"/>
    <n v="0.14499999999999999"/>
    <n v="0.30759999999999998"/>
    <n v="-0.16259999999999999"/>
    <n v="0"/>
    <n v="2.641"/>
    <n v="2.9108000000000001"/>
    <n v="-0.26980000000000004"/>
    <n v="0"/>
    <n v="7.1639999999999995E-2"/>
    <n v="0.1215560017"/>
    <n v="-4.9916001700000004E-2"/>
    <n v="0"/>
    <n v="161.16300000000001"/>
    <n v="77.073399999999992"/>
    <n v="84.089600000000019"/>
    <n v="1"/>
    <n v="0.27556000000000003"/>
    <n v="0.37541199820000004"/>
    <n v="-9.9851998200000014E-2"/>
    <n v="0"/>
    <n v="1"/>
    <n v="0.16666666666666666"/>
    <s v="Weak"/>
  </r>
  <r>
    <s v="Thermo Fisher Scientific Inc"/>
    <s v="TMO"/>
    <x v="39"/>
    <n v="0.19700999999999999"/>
    <n v="0.18452167"/>
    <n v="1.2488329999999992E-2"/>
    <n v="1"/>
    <n v="1.4E-2"/>
    <n v="0.17683333333333331"/>
    <n v="-0.1628333333333333"/>
    <n v="0"/>
    <n v="1.504"/>
    <n v="1.6713333333333333"/>
    <n v="-0.16733333333333333"/>
    <n v="0"/>
    <n v="7.8009999999999996E-2"/>
    <n v="9.1146667000000001E-2"/>
    <n v="-1.3136667000000005E-2"/>
    <n v="0"/>
    <n v="85.096999999999994"/>
    <n v="96.502166666666668"/>
    <n v="-11.405166666666673"/>
    <n v="0"/>
    <n v="0.20476"/>
    <n v="0.32766498833333335"/>
    <n v="-0.12290498833333335"/>
    <n v="0"/>
    <n v="1"/>
    <n v="0.16666666666666666"/>
    <s v="Weak"/>
  </r>
  <r>
    <s v="Oracle Corporation"/>
    <s v="ORCL"/>
    <x v="3"/>
    <n v="0.24787999999999999"/>
    <n v="0.26349400199999995"/>
    <n v="-1.561400199999996E-2"/>
    <n v="0"/>
    <n v="5.7000000000000002E-2"/>
    <n v="0.2198"/>
    <n v="-0.1628"/>
    <n v="0"/>
    <n v="1.6459999999999999"/>
    <n v="1.6274000000000002"/>
    <n v="1.8599999999999728E-2"/>
    <n v="1"/>
    <n v="9.1999999999999998E-2"/>
    <n v="0.10721799800000001"/>
    <n v="-1.521799800000001E-2"/>
    <n v="0"/>
    <n v="0"/>
    <n v="37.377800000000001"/>
    <n v="-37.377800000000001"/>
    <n v="0"/>
    <m/>
    <n v="0.40269748999999999"/>
    <n v="-0.40269748999999999"/>
    <n v="0"/>
    <n v="1"/>
    <n v="0.16666666666666666"/>
    <s v="Weak"/>
  </r>
  <r>
    <s v="Intel Corporation"/>
    <s v="INTC"/>
    <x v="4"/>
    <n v="0.25141999999999998"/>
    <n v="0.24659300000000001"/>
    <n v="4.8269999999999702E-3"/>
    <n v="1"/>
    <n v="2.8000000000000001E-2"/>
    <n v="0.30759999999999998"/>
    <n v="-0.27959999999999996"/>
    <n v="0"/>
    <n v="2.1019999999999999"/>
    <n v="2.9108000000000001"/>
    <n v="-0.80880000000000019"/>
    <n v="0"/>
    <n v="8.586001E-2"/>
    <n v="0.1215560017"/>
    <n v="-3.5695991699999999E-2"/>
    <n v="0"/>
    <n v="40.508000000000003"/>
    <n v="77.073399999999992"/>
    <n v="-36.56539999999999"/>
    <n v="0"/>
    <n v="0.22522"/>
    <n v="0.37541199820000004"/>
    <n v="-0.15019199820000004"/>
    <n v="0"/>
    <n v="1"/>
    <n v="0.16666666666666666"/>
    <s v="Weak"/>
  </r>
  <r>
    <s v="Merck &amp; Company, Inc."/>
    <s v="MRK"/>
    <x v="28"/>
    <n v="0.13680999999999999"/>
    <n v="0.21304124999999996"/>
    <n v="-7.6231249999999973E-2"/>
    <n v="0"/>
    <n v="0.20399999999999999"/>
    <n v="0.270125"/>
    <n v="-6.6125000000000017E-2"/>
    <n v="0"/>
    <n v="1.3089999999999999"/>
    <n v="1.4105714285714286"/>
    <n v="-0.10157142857142865"/>
    <n v="0"/>
    <n v="0.12132999999999999"/>
    <n v="9.5184285714285721E-2"/>
    <n v="2.6145714285714272E-2"/>
    <n v="1"/>
    <n v="73.727999999999994"/>
    <n v="212.02399999999994"/>
    <n v="-138.29599999999994"/>
    <n v="0"/>
    <n v="0.26035999999999998"/>
    <n v="0.47294625624999997"/>
    <n v="-0.21258625624999999"/>
    <n v="0"/>
    <n v="1"/>
    <n v="0.16666666666666666"/>
    <s v="Weak"/>
  </r>
  <r>
    <s v="NextEra Energy, Inc."/>
    <s v="NEE"/>
    <x v="17"/>
    <n v="0.14399000000000001"/>
    <n v="0.13919999833333332"/>
    <n v="4.7900016666666823E-3"/>
    <n v="1"/>
    <n v="-8.6999999999999994E-2"/>
    <n v="3.0333333333333337E-2"/>
    <n v="-0.11733333333333333"/>
    <n v="0"/>
    <n v="0.46800000000000003"/>
    <n v="0.65966666666666662"/>
    <n v="-0.1916666666666666"/>
    <n v="0"/>
    <n v="1.33299995E-2"/>
    <n v="2.127833375E-2"/>
    <n v="-7.9483342499999995E-3"/>
    <n v="0"/>
    <n v="123.733"/>
    <n v="151.27916666666667"/>
    <n v="-27.546166666666664"/>
    <n v="0"/>
    <n v="3.8730000000000001E-2"/>
    <n v="8.0088333333333345E-2"/>
    <n v="-4.1358333333333344E-2"/>
    <n v="0"/>
    <n v="1"/>
    <n v="0.16666666666666666"/>
    <s v="Weak"/>
  </r>
  <r>
    <s v="Bristol-Myers Squibb Company"/>
    <s v="BMY"/>
    <x v="28"/>
    <n v="0.15078"/>
    <n v="0.21304124999999996"/>
    <n v="-6.2261249999999962E-2"/>
    <n v="0"/>
    <n v="8.3000000000000004E-2"/>
    <n v="0.270125"/>
    <n v="-0.18712499999999999"/>
    <n v="0"/>
    <n v="1.5209999999999999"/>
    <n v="1.4105714285714286"/>
    <n v="0.11042857142857132"/>
    <n v="1"/>
    <n v="5.3900000000000003E-2"/>
    <n v="9.5184285714285721E-2"/>
    <n v="-4.1284285714285718E-2"/>
    <n v="0"/>
    <n v="126.634"/>
    <n v="212.02399999999994"/>
    <n v="-85.389999999999944"/>
    <n v="0"/>
    <n v="0.18984999999999999"/>
    <n v="0.47294625624999997"/>
    <n v="-0.28309625625000001"/>
    <n v="0"/>
    <n v="1"/>
    <n v="0.16666666666666666"/>
    <s v="Weak"/>
  </r>
  <r>
    <s v="Raytheon Technologies Corporati"/>
    <s v="RTX"/>
    <x v="9"/>
    <n v="5.1960002999999998E-2"/>
    <n v="8.6845711000000006E-2"/>
    <n v="-3.4885708000000008E-2"/>
    <n v="0"/>
    <n v="9.9000000000000005E-2"/>
    <n v="-5.5714285714285701E-3"/>
    <n v="0.10457142857142858"/>
    <n v="1"/>
    <n v="1.23"/>
    <n v="1.9000000000000001"/>
    <n v="-0.67000000000000015"/>
    <n v="0"/>
    <n v="2.5080000000000002E-2"/>
    <n v="5.5819999142857138E-2"/>
    <n v="-3.0739999142857136E-2"/>
    <n v="0"/>
    <n v="44.935000000000002"/>
    <n v="56.095714285714287"/>
    <n v="-11.160714285714285"/>
    <n v="0"/>
    <n v="5.0169999999999999E-2"/>
    <n v="0.33201799800000004"/>
    <n v="-0.28184799800000004"/>
    <n v="0"/>
    <n v="1"/>
    <n v="0.16666666666666666"/>
    <s v="Weak"/>
  </r>
  <r>
    <s v="Lowe's Companies, Inc."/>
    <s v="LOW"/>
    <x v="6"/>
    <n v="8.6249999999999993E-2"/>
    <n v="9.7080004999999997E-2"/>
    <n v="-1.0830005000000004E-2"/>
    <n v="0"/>
    <n v="2.7E-2"/>
    <n v="6.25E-2"/>
    <n v="-3.5500000000000004E-2"/>
    <n v="0"/>
    <n v="1.1930000000000001"/>
    <n v="1.1625000000000001"/>
    <n v="3.0499999999999972E-2"/>
    <n v="1"/>
    <n v="0.16220999999999999"/>
    <n v="0.18337500000000001"/>
    <n v="-2.1165000000000017E-2"/>
    <n v="0"/>
    <n v="0"/>
    <n v="2186.7150000000001"/>
    <n v="-2186.7150000000001"/>
    <n v="0"/>
    <n v="6.57829"/>
    <n v="9.4907002499999997"/>
    <n v="-2.9124102499999998"/>
    <n v="0"/>
    <n v="1"/>
    <n v="0.16666666666666666"/>
    <s v="Weak"/>
  </r>
  <r>
    <s v="Medtronic plc."/>
    <s v="MDT"/>
    <x v="18"/>
    <n v="0.14793000000000001"/>
    <n v="0.17781714214285715"/>
    <n v="-2.9887142142857148E-2"/>
    <n v="0"/>
    <n v="2.5999999999999999E-2"/>
    <n v="0.16085714285714284"/>
    <n v="-0.13485714285714284"/>
    <n v="0"/>
    <n v="2.9129999999999998"/>
    <n v="2.5379999999999998"/>
    <n v="0.375"/>
    <n v="1"/>
    <n v="4.5879996999999999E-2"/>
    <n v="7.492714242857143E-2"/>
    <n v="-2.9047145428571432E-2"/>
    <n v="0"/>
    <n v="49.125"/>
    <n v="50.663714285714285"/>
    <n v="-1.5387142857142848"/>
    <n v="0"/>
    <n v="9.2329999999999995E-2"/>
    <n v="0.18974000000000002"/>
    <n v="-9.7410000000000024E-2"/>
    <n v="0"/>
    <n v="1"/>
    <n v="0.16666666666666666"/>
    <s v="Weak"/>
  </r>
  <r>
    <s v="CVS Health Corporation"/>
    <s v="CVS"/>
    <x v="8"/>
    <n v="2.6679999999999999E-2"/>
    <n v="3.6041667333333326E-2"/>
    <n v="-9.3616673333333268E-3"/>
    <n v="0"/>
    <n v="0.1"/>
    <n v="0.11366666666666668"/>
    <n v="-1.3666666666666674E-2"/>
    <n v="0"/>
    <n v="0.94"/>
    <n v="1.1100000000000001"/>
    <n v="-0.17000000000000015"/>
    <n v="0"/>
    <n v="3.551E-2"/>
    <n v="4.6496666166666666E-2"/>
    <n v="-1.0986666166666666E-2"/>
    <n v="0"/>
    <n v="105.414"/>
    <n v="78.132333333333335"/>
    <n v="27.281666666666666"/>
    <n v="1"/>
    <n v="0.10556"/>
    <n v="0.14621000233333331"/>
    <n v="-4.065000233333331E-2"/>
    <n v="0"/>
    <n v="1"/>
    <n v="0.16666666666666666"/>
    <s v="Weak"/>
  </r>
  <r>
    <s v="Honeywell International Inc."/>
    <s v="HON"/>
    <x v="12"/>
    <n v="0.15801999999999999"/>
    <n v="0.16283"/>
    <n v="-4.8100000000000087E-3"/>
    <n v="0"/>
    <n v="8.6999999999999994E-2"/>
    <n v="7.8999999999999987E-2"/>
    <n v="8.0000000000000071E-3"/>
    <n v="1"/>
    <n v="1.288"/>
    <n v="1.4965000000000002"/>
    <n v="-0.20850000000000013"/>
    <n v="0"/>
    <n v="7.3860005000000006E-2"/>
    <n v="9.1655002499999999E-2"/>
    <n v="-1.7794997499999993E-2"/>
    <n v="0"/>
    <n v="122.846"/>
    <n v="126.82900000000001"/>
    <n v="-3.9830000000000041"/>
    <n v="0"/>
    <n v="0.30443999999999999"/>
    <n v="0.37621999"/>
    <n v="-7.1779990000000016E-2"/>
    <n v="0"/>
    <n v="1"/>
    <n v="0.16666666666666666"/>
    <s v="Weak"/>
  </r>
  <r>
    <s v="Applied Materials, Inc."/>
    <s v="AMAT"/>
    <x v="14"/>
    <n v="0.25530002000000002"/>
    <n v="0.29708666666666667"/>
    <n v="-4.1786646666666649E-2"/>
    <n v="0"/>
    <n v="0.30599999999999999"/>
    <n v="0.33833333333333337"/>
    <n v="-3.2333333333333381E-2"/>
    <n v="0"/>
    <n v="2.5390000000000001"/>
    <n v="2.7476666666666669"/>
    <n v="-0.20866666666666678"/>
    <n v="0"/>
    <n v="0.18829000000000001"/>
    <n v="0.18592000333333333"/>
    <n v="2.3699966666666794E-3"/>
    <n v="1"/>
    <n v="46.975000000000001"/>
    <n v="74.865666666666669"/>
    <n v="-27.890666666666668"/>
    <n v="0"/>
    <n v="0.51593"/>
    <n v="0.69937335000000012"/>
    <n v="-0.18344335000000012"/>
    <n v="0"/>
    <n v="1"/>
    <n v="0.16666666666666666"/>
    <s v="Weak"/>
  </r>
  <r>
    <s v="ServiceNow, Inc."/>
    <s v="NOW"/>
    <x v="34"/>
    <n v="3.986E-2"/>
    <n v="0.17165200400000002"/>
    <n v="-0.13179200400000002"/>
    <n v="0"/>
    <n v="0.312"/>
    <n v="0.28060000000000002"/>
    <n v="3.1399999999999983E-2"/>
    <n v="1"/>
    <n v="1.131"/>
    <n v="1.3602000000000001"/>
    <n v="-0.22920000000000007"/>
    <n v="0"/>
    <n v="1.745E-2"/>
    <n v="6.5944000000000003E-2"/>
    <n v="-4.8494000000000002E-2"/>
    <n v="0"/>
    <n v="63.015999999999998"/>
    <n v="73.073599999999999"/>
    <n v="-10.057600000000001"/>
    <n v="0"/>
    <n v="7.1040004000000004E-2"/>
    <n v="0.52347798119999989"/>
    <n v="-0.4524379771999999"/>
    <n v="0"/>
    <n v="1"/>
    <n v="0.16666666666666666"/>
    <s v="Weak"/>
  </r>
  <r>
    <s v="BlackRock, Inc."/>
    <s v="BLK"/>
    <x v="44"/>
    <n v="0.30972"/>
    <n v="0.30562332333333336"/>
    <n v="4.0966766666666321E-3"/>
    <n v="1"/>
    <n v="0.156"/>
    <n v="0.156"/>
    <n v="0"/>
    <n v="0"/>
    <n v="1.427"/>
    <n v="2.0716666666666668"/>
    <n v="-0.64466666666666672"/>
    <n v="0"/>
    <n v="2.7269999999999999E-2"/>
    <n v="8.1486663333333334E-2"/>
    <n v="-5.4216663333333331E-2"/>
    <n v="0"/>
    <n v="21.949000000000002"/>
    <n v="31.016666666666666"/>
    <n v="-9.0676666666666641"/>
    <n v="0"/>
    <n v="0.16974"/>
    <n v="0.32167000000000001"/>
    <n v="-0.15193000000000001"/>
    <n v="0"/>
    <n v="1"/>
    <n v="0.16666666666666666"/>
    <s v="Weak"/>
  </r>
  <r>
    <s v="Charter Communications, Inc."/>
    <s v="CHTR"/>
    <x v="31"/>
    <n v="8.3960000000000007E-2"/>
    <n v="0.10431499775"/>
    <n v="-2.0354997749999992E-2"/>
    <n v="0"/>
    <n v="9.1999999999999998E-2"/>
    <n v="0.17549999999999999"/>
    <n v="-8.3499999999999991E-2"/>
    <n v="0"/>
    <n v="0.28599999999999998"/>
    <n v="0.89124999999999999"/>
    <n v="-0.60525000000000007"/>
    <n v="0"/>
    <n v="4.6019999999999998E-2"/>
    <n v="5.0625000125E-2"/>
    <n v="-4.6050001250000014E-3"/>
    <n v="0"/>
    <n v="417.43"/>
    <n v="174.17824999999999"/>
    <n v="243.25175000000002"/>
    <n v="1"/>
    <n v="0.17694001000000001"/>
    <n v="0.18733000275"/>
    <n v="-1.0389992749999993E-2"/>
    <n v="0"/>
    <n v="1"/>
    <n v="0.16666666666666666"/>
    <s v="Weak"/>
  </r>
  <r>
    <s v="Starbucks Corporation"/>
    <s v="SBUX"/>
    <x v="52"/>
    <n v="0.14468998999999999"/>
    <n v="0.19883250750000001"/>
    <n v="-5.4142517500000015E-2"/>
    <n v="0"/>
    <n v="0.193"/>
    <n v="0.157"/>
    <n v="3.6000000000000004E-2"/>
    <n v="1"/>
    <n v="0.81299999999999994"/>
    <n v="1.3137500000000002"/>
    <n v="-0.50075000000000025"/>
    <n v="0"/>
    <n v="0.104770005"/>
    <n v="0.13219250124999998"/>
    <n v="-2.7422496249999984E-2"/>
    <n v="0"/>
    <n v="0"/>
    <n v="38.308"/>
    <n v="-38.308"/>
    <n v="0"/>
    <m/>
    <n v="0.30247997999999998"/>
    <n v="-0.30247997999999998"/>
    <n v="0"/>
    <n v="1"/>
    <n v="0.16666666666666666"/>
    <s v="Weak"/>
  </r>
  <r>
    <s v="Stryker Corporation"/>
    <s v="SYK"/>
    <x v="18"/>
    <n v="0.113979995"/>
    <n v="0.17781714214285715"/>
    <n v="-6.3837147142857154E-2"/>
    <n v="0"/>
    <n v="0.113"/>
    <n v="0.16085714285714284"/>
    <n v="-4.7857142857142834E-2"/>
    <n v="0"/>
    <n v="2.1259999999999999"/>
    <n v="2.5379999999999998"/>
    <n v="-0.41199999999999992"/>
    <n v="0"/>
    <n v="6.8849999999999995E-2"/>
    <n v="7.492714242857143E-2"/>
    <n v="-6.0771424285714359E-3"/>
    <n v="0"/>
    <n v="92.093000000000004"/>
    <n v="50.663714285714285"/>
    <n v="41.429285714285719"/>
    <n v="1"/>
    <n v="0.13988999999999999"/>
    <n v="0.18974000000000002"/>
    <n v="-4.9850000000000033E-2"/>
    <n v="0"/>
    <n v="1"/>
    <n v="0.16666666666666666"/>
    <s v="Weak"/>
  </r>
  <r>
    <s v="CME Group Inc."/>
    <s v="CME"/>
    <x v="50"/>
    <n v="0.52595999999999998"/>
    <n v="0.40717199600000004"/>
    <n v="0.11878800399999995"/>
    <n v="1"/>
    <n v="2.8000000000000001E-2"/>
    <n v="0.15279999999999999"/>
    <n v="-0.12479999999999999"/>
    <n v="0"/>
    <n v="1.008"/>
    <n v="1.5326"/>
    <n v="-0.52459999999999996"/>
    <n v="0"/>
    <n v="1.026E-2"/>
    <n v="0.10174799999999999"/>
    <n v="-9.1487999999999986E-2"/>
    <n v="0"/>
    <n v="14.81"/>
    <n v="95.873400000000004"/>
    <n v="-81.063400000000001"/>
    <n v="0"/>
    <n v="8.9750010000000005E-2"/>
    <n v="0.48719750249999999"/>
    <n v="-0.3974474925"/>
    <n v="0"/>
    <n v="1"/>
    <n v="0.16666666666666666"/>
    <s v="Weak"/>
  </r>
  <r>
    <s v="Analog Devices, Inc."/>
    <s v="ADI"/>
    <x v="4"/>
    <n v="0.18998999999999999"/>
    <n v="0.24659300000000001"/>
    <n v="-5.6603000000000014E-2"/>
    <n v="0"/>
    <n v="0.53300000000000003"/>
    <n v="0.30759999999999998"/>
    <n v="0.22540000000000004"/>
    <n v="1"/>
    <n v="1.9410000000000001"/>
    <n v="2.9108000000000001"/>
    <n v="-0.9698"/>
    <n v="0"/>
    <n v="3.0040000000000001E-2"/>
    <n v="0.1215560017"/>
    <n v="-9.1516001700000002E-2"/>
    <n v="0"/>
    <n v="18.736000000000001"/>
    <n v="77.073399999999992"/>
    <n v="-58.337399999999988"/>
    <n v="0"/>
    <n v="5.5630001999999998E-2"/>
    <n v="0.37541199820000004"/>
    <n v="-0.31978199620000003"/>
    <n v="0"/>
    <n v="1"/>
    <n v="0.16666666666666666"/>
    <s v="Weak"/>
  </r>
  <r>
    <s v="Mondelez International, Inc."/>
    <s v="MDLZ"/>
    <x v="20"/>
    <n v="0.15701999999999999"/>
    <n v="0.160855"/>
    <n v="-3.8350000000000051E-3"/>
    <n v="0"/>
    <n v="7.8E-2"/>
    <n v="7.1000000000000008E-2"/>
    <n v="6.9999999999999923E-3"/>
    <n v="1"/>
    <n v="0.73299999999999998"/>
    <n v="0.81699999999999995"/>
    <n v="-8.3999999999999964E-2"/>
    <n v="0"/>
    <n v="4.7280002000000002E-2"/>
    <n v="8.9150006000000004E-2"/>
    <n v="-4.1870004000000002E-2"/>
    <n v="0"/>
    <n v="73.834000000000003"/>
    <n v="134.4075"/>
    <n v="-60.573499999999996"/>
    <n v="0"/>
    <n v="0.16311999999999999"/>
    <n v="0.37841499999999995"/>
    <n v="-0.21529499999999996"/>
    <n v="0"/>
    <n v="1"/>
    <n v="0.16666666666666666"/>
    <s v="Weak"/>
  </r>
  <r>
    <s v="Becton, Dickinson and Company"/>
    <s v="BDX"/>
    <x v="11"/>
    <n v="0.103319995"/>
    <n v="0.16214249875"/>
    <n v="-5.8822503750000005E-2"/>
    <n v="0"/>
    <n v="7.2999999999999995E-2"/>
    <n v="0.13175000000000001"/>
    <n v="-5.8750000000000011E-2"/>
    <n v="0"/>
    <n v="1.3340000000000001"/>
    <n v="2.8327499999999999"/>
    <n v="-1.4987499999999998"/>
    <n v="0"/>
    <n v="3.9039999999999998E-2"/>
    <n v="8.047999950000001E-2"/>
    <n v="-4.1439999500000012E-2"/>
    <n v="0"/>
    <n v="76.361000000000004"/>
    <n v="45.386000000000003"/>
    <n v="30.975000000000001"/>
    <n v="1"/>
    <n v="8.8190004000000002E-2"/>
    <n v="0.140782501"/>
    <n v="-5.2592497000000002E-2"/>
    <n v="0"/>
    <n v="1"/>
    <n v="0.16666666666666666"/>
    <s v="Weak"/>
  </r>
  <r>
    <s v="General Dynamics Corporation"/>
    <s v="GD"/>
    <x v="9"/>
    <n v="8.4659990000000004E-2"/>
    <n v="8.6845711000000006E-2"/>
    <n v="-2.1857210000000016E-3"/>
    <n v="0"/>
    <n v="-1.7999999999999999E-2"/>
    <n v="-5.5714285714285701E-3"/>
    <n v="-1.2428571428571428E-2"/>
    <n v="0"/>
    <n v="1.43"/>
    <n v="1.9000000000000001"/>
    <n v="-0.4700000000000002"/>
    <n v="0"/>
    <n v="5.4019999999999999E-2"/>
    <n v="5.5819999142857138E-2"/>
    <n v="-1.7999991428571394E-3"/>
    <n v="0"/>
    <n v="74.683999999999997"/>
    <n v="56.095714285714287"/>
    <n v="18.588285714285711"/>
    <n v="1"/>
    <n v="0.19559999"/>
    <n v="0.33201799800000004"/>
    <n v="-0.13641800800000004"/>
    <n v="0"/>
    <n v="1"/>
    <n v="0.16666666666666666"/>
    <s v="Weak"/>
  </r>
  <r>
    <s v="Fiserv, Inc."/>
    <s v="FISV"/>
    <x v="7"/>
    <n v="8.2339999999999997E-2"/>
    <n v="8.1440000400000018E-2"/>
    <n v="8.9999959999997881E-4"/>
    <n v="1"/>
    <n v="0.1"/>
    <n v="0.12479999999999999"/>
    <n v="-2.4799999999999989E-2"/>
    <n v="0"/>
    <n v="1.0489999999999999"/>
    <n v="1.1856"/>
    <n v="-0.13660000000000005"/>
    <n v="0"/>
    <n v="2.0879999999999999E-2"/>
    <n v="5.8694001199999998E-2"/>
    <n v="-3.7814001200000003E-2"/>
    <n v="0"/>
    <n v="64.415000000000006"/>
    <n v="80.509399999999999"/>
    <n v="-16.094399999999993"/>
    <n v="0"/>
    <n v="4.1700000000000001E-2"/>
    <n v="0.15423999999999999"/>
    <n v="-0.11253999999999999"/>
    <n v="0"/>
    <n v="1"/>
    <n v="0.16666666666666666"/>
    <s v="Weak"/>
  </r>
  <r>
    <s v="Equinix, Inc."/>
    <s v="EQIX"/>
    <x v="10"/>
    <n v="6.54E-2"/>
    <n v="0.16090750249999999"/>
    <n v="-9.5507502499999994E-2"/>
    <n v="0"/>
    <n v="0.112"/>
    <n v="0.14150000000000001"/>
    <n v="-2.9500000000000012E-2"/>
    <n v="0"/>
    <n v="1.6279999999999999"/>
    <n v="0.92549999999999988"/>
    <n v="0.70250000000000001"/>
    <n v="1"/>
    <n v="2.6749999999999999E-2"/>
    <n v="3.8689999999999995E-2"/>
    <n v="-1.1939999999999996E-2"/>
    <n v="0"/>
    <n v="142.51400000000001"/>
    <n v="226.1405"/>
    <n v="-83.626499999999993"/>
    <n v="0"/>
    <n v="4.0480000000000002E-2"/>
    <n v="0.17198999999999998"/>
    <n v="-0.13150999999999996"/>
    <n v="0"/>
    <n v="1"/>
    <n v="0.16666666666666666"/>
    <s v="Weak"/>
  </r>
  <r>
    <s v="General Motors Company"/>
    <s v="GM"/>
    <x v="47"/>
    <n v="7.8889996000000004E-2"/>
    <n v="9.4826665333333338E-2"/>
    <n v="-1.5936669333333334E-2"/>
    <n v="0"/>
    <n v="-0.105"/>
    <n v="0.17033333333333334"/>
    <n v="-0.27533333333333332"/>
    <n v="0"/>
    <n v="1.103"/>
    <n v="1.2296666666666667"/>
    <n v="-0.12666666666666671"/>
    <n v="0"/>
    <n v="2.9779999000000001E-2"/>
    <n v="3.6796666666666665E-2"/>
    <n v="-7.0166676666666636E-3"/>
    <n v="0"/>
    <n v="168.03899999999999"/>
    <n v="163.52166666666665"/>
    <n v="4.5173333333333403"/>
    <n v="1"/>
    <n v="0.17222000000000001"/>
    <n v="0.25986000999999997"/>
    <n v="-8.7640009999999963E-2"/>
    <n v="0"/>
    <n v="1"/>
    <n v="0.16666666666666666"/>
    <s v="Weak"/>
  </r>
  <r>
    <s v="Vertex Pharmaceuticals Incorpor"/>
    <s v="VRTX"/>
    <x v="35"/>
    <n v="0.30523001999999999"/>
    <n v="0.46816000666666668"/>
    <n v="-0.16292998666666669"/>
    <n v="0"/>
    <n v="0.28999999999999998"/>
    <n v="10.661333333333333"/>
    <n v="-10.371333333333334"/>
    <n v="0"/>
    <n v="4.625"/>
    <n v="3.1789999999999998"/>
    <n v="1.4460000000000002"/>
    <n v="1"/>
    <n v="0.13846"/>
    <n v="0.25766333333333336"/>
    <n v="-0.11920333333333336"/>
    <n v="0"/>
    <n v="9.1999999999999993"/>
    <n v="9.7806666666666668"/>
    <n v="-0.58066666666666755"/>
    <n v="0"/>
    <n v="0.24639"/>
    <n v="0.62818334333333326"/>
    <n v="-0.38179334333333326"/>
    <n v="0"/>
    <n v="1"/>
    <n v="0.16666666666666666"/>
    <s v="Weak"/>
  </r>
  <r>
    <s v="Boston Scientific Corporation"/>
    <s v="BSX"/>
    <x v="18"/>
    <n v="0.10077999999999999"/>
    <n v="0.17781714214285715"/>
    <n v="-7.703714214285716E-2"/>
    <n v="0"/>
    <n v="0.10299999999999999"/>
    <n v="0.16085714285714284"/>
    <n v="-5.7857142857142843E-2"/>
    <n v="0"/>
    <n v="1.5489999999999999"/>
    <n v="2.5379999999999998"/>
    <n v="-0.98899999999999988"/>
    <n v="0"/>
    <n v="3.9440000000000003E-2"/>
    <n v="7.492714242857143E-2"/>
    <n v="-3.5487142428571428E-2"/>
    <n v="0"/>
    <n v="57.478000000000002"/>
    <n v="50.663714285714285"/>
    <n v="6.8142857142857167"/>
    <n v="1"/>
    <n v="7.2190000000000004E-2"/>
    <n v="0.18974000000000002"/>
    <n v="-0.11755000000000002"/>
    <n v="0"/>
    <n v="1"/>
    <n v="0.16666666666666666"/>
    <s v="Weak"/>
  </r>
  <r>
    <s v="Occidental Petroleum Corporatio"/>
    <s v="OXY"/>
    <x v="24"/>
    <n v="-1.4730001E-2"/>
    <n v="0.11456799980000001"/>
    <n v="-0.12929800080000001"/>
    <n v="0"/>
    <n v="0.65300000000000002"/>
    <n v="1.5185999999999999"/>
    <n v="-0.86559999999999993"/>
    <n v="0"/>
    <n v="1.085"/>
    <n v="1.4501999999999999"/>
    <n v="-0.36519999999999997"/>
    <n v="0"/>
    <n v="1.4049999000000001E-2"/>
    <n v="9.155399979999998E-2"/>
    <n v="-7.7504000799999972E-2"/>
    <n v="0"/>
    <n v="176.321"/>
    <n v="71.088200000000001"/>
    <n v="105.2328"/>
    <n v="1"/>
    <n v="4.13E-3"/>
    <n v="0.13806800200000002"/>
    <n v="-0.13393800200000003"/>
    <n v="0"/>
    <n v="1"/>
    <n v="0.16666666666666666"/>
    <s v="Weak"/>
  </r>
  <r>
    <s v="Ecolab Inc."/>
    <s v="ECL"/>
    <x v="43"/>
    <n v="9.0819999999999998E-2"/>
    <n v="0.15536000333333333"/>
    <n v="-6.4540003333333332E-2"/>
    <n v="0"/>
    <n v="0.1"/>
    <n v="0.21066666666666664"/>
    <n v="-0.11066666666666664"/>
    <n v="0"/>
    <n v="1.7230000000000001"/>
    <n v="1.6655"/>
    <n v="5.7500000000000107E-2"/>
    <n v="1"/>
    <n v="6.4920000000000005E-2"/>
    <n v="6.7101666833333337E-2"/>
    <n v="-2.1816668333333317E-3"/>
    <n v="0"/>
    <n v="90.912999999999997"/>
    <n v="123.15566666666665"/>
    <n v="-32.242666666666651"/>
    <n v="0"/>
    <n v="0.17579001"/>
    <n v="0.26484833499999999"/>
    <n v="-8.9058324999999994E-2"/>
    <n v="0"/>
    <n v="1"/>
    <n v="0.16666666666666666"/>
    <s v="Weak"/>
  </r>
  <r>
    <s v="NXP Semiconductors N.V."/>
    <s v="NXPI"/>
    <x v="4"/>
    <n v="0.14984"/>
    <n v="0.24659300000000001"/>
    <n v="-9.6753000000000006E-2"/>
    <n v="0"/>
    <n v="0.26200000000000001"/>
    <n v="0.30759999999999998"/>
    <n v="-4.5599999999999974E-2"/>
    <n v="0"/>
    <n v="1.373"/>
    <n v="2.9108000000000001"/>
    <n v="-1.5378000000000001"/>
    <n v="0"/>
    <n v="7.0529999999999995E-2"/>
    <n v="0.1215560017"/>
    <n v="-5.1026001700000004E-2"/>
    <n v="0"/>
    <n v="137.59299999999999"/>
    <n v="77.073399999999992"/>
    <n v="60.519599999999997"/>
    <n v="1"/>
    <n v="0.20143"/>
    <n v="0.37541199820000004"/>
    <n v="-0.17398199820000004"/>
    <n v="0"/>
    <n v="1"/>
    <n v="0.16666666666666666"/>
    <s v="Weak"/>
  </r>
  <r>
    <s v="Synopsys, Inc."/>
    <s v="SNPS"/>
    <x v="3"/>
    <n v="0.20177998999999999"/>
    <n v="0.26349400199999995"/>
    <n v="-6.1714011999999957E-2"/>
    <n v="0"/>
    <n v="0.309"/>
    <n v="0.2198"/>
    <n v="8.9200000000000002E-2"/>
    <n v="1"/>
    <n v="1.1930000000000001"/>
    <n v="1.6274000000000002"/>
    <n v="-0.43440000000000012"/>
    <n v="0"/>
    <n v="7.2319999999999995E-2"/>
    <n v="0.10721799800000001"/>
    <n v="-3.4897998000000013E-2"/>
    <n v="0"/>
    <n v="10.771000000000001"/>
    <n v="37.377800000000001"/>
    <n v="-26.6068"/>
    <n v="0"/>
    <n v="0.17663999"/>
    <n v="0.40269748999999999"/>
    <n v="-0.22605749999999999"/>
    <n v="0"/>
    <n v="1"/>
    <n v="0.16666666666666666"/>
    <s v="Weak"/>
  </r>
  <r>
    <s v="The Kraft Heinz Company"/>
    <s v="KHC"/>
    <x v="25"/>
    <n v="8.7580000000000005E-2"/>
    <n v="0.10389000500000001"/>
    <n v="-1.6310005000000002E-2"/>
    <n v="0"/>
    <n v="-1.7999999999999999E-2"/>
    <n v="2.35E-2"/>
    <n v="-4.1499999999999995E-2"/>
    <n v="0"/>
    <n v="1.1299999999999999"/>
    <n v="0.98799999999999999"/>
    <n v="0.1419999999999999"/>
    <n v="1"/>
    <n v="3.7409999999999999E-2"/>
    <n v="5.1325000000000003E-2"/>
    <n v="-1.3915000000000004E-2"/>
    <n v="0"/>
    <n v="47.921999999999997"/>
    <n v="85.083500000000001"/>
    <n v="-37.161500000000004"/>
    <n v="0"/>
    <n v="4.6460000000000001E-2"/>
    <n v="0.13684499999999999"/>
    <n v="-9.0384999999999993E-2"/>
    <n v="0"/>
    <n v="1"/>
    <n v="0.16666666666666666"/>
    <s v="Weak"/>
  </r>
  <r>
    <s v="Microchip Technology Incorporat"/>
    <s v="MCHP"/>
    <x v="4"/>
    <n v="0.14954000000000001"/>
    <n v="0.24659300000000001"/>
    <n v="-9.7053E-2"/>
    <n v="0"/>
    <n v="0.3"/>
    <n v="0.30759999999999998"/>
    <n v="-7.5999999999999956E-3"/>
    <n v="0"/>
    <n v="1.806"/>
    <n v="2.9108000000000001"/>
    <n v="-1.1048"/>
    <n v="0"/>
    <n v="6.2090001999999998E-2"/>
    <n v="0.1215560017"/>
    <n v="-5.9465999700000001E-2"/>
    <n v="0"/>
    <n v="136.19"/>
    <n v="77.073399999999992"/>
    <n v="59.116600000000005"/>
    <n v="1"/>
    <n v="0.17362"/>
    <n v="0.37541199820000004"/>
    <n v="-0.20179199820000004"/>
    <n v="0"/>
    <n v="1"/>
    <n v="0.16666666666666666"/>
    <s v="Weak"/>
  </r>
  <r>
    <s v="TE Connectivity Ltd. New Switze"/>
    <s v="TEL"/>
    <x v="19"/>
    <n v="0.16072"/>
    <n v="0.15349000499999998"/>
    <n v="7.2299950000000168E-3"/>
    <n v="1"/>
    <n v="8.4000000000000005E-2"/>
    <n v="0.16600000000000001"/>
    <n v="-8.2000000000000003E-2"/>
    <n v="0"/>
    <n v="1.6950000000000001"/>
    <n v="2.0649999999999999"/>
    <n v="-0.36999999999999988"/>
    <n v="0"/>
    <n v="8.3739995999999997E-2"/>
    <n v="9.2054997999999999E-2"/>
    <n v="-8.3150020000000019E-3"/>
    <n v="0"/>
    <n v="36.386000000000003"/>
    <n v="57.782499999999999"/>
    <n v="-21.396499999999996"/>
    <n v="0"/>
    <n v="0.23186999999999999"/>
    <n v="0.24948999999999999"/>
    <n v="-1.7619999999999997E-2"/>
    <n v="0"/>
    <n v="1"/>
    <n v="0.16666666666666666"/>
    <s v="Weak"/>
  </r>
  <r>
    <s v="Hilton Worldwide Holdings Inc."/>
    <s v="HLT"/>
    <x v="37"/>
    <n v="1.899E-2"/>
    <n v="9.1394995000000007E-2"/>
    <n v="-7.2404995E-2"/>
    <n v="0"/>
    <n v="0.93"/>
    <n v="1.036"/>
    <n v="-0.10599999999999998"/>
    <n v="0"/>
    <n v="1.0269999999999999"/>
    <n v="0.76200000000000001"/>
    <n v="0.2649999999999999"/>
    <n v="1"/>
    <n v="3.0009999999999998E-2"/>
    <n v="3.2390000000000002E-2"/>
    <n v="-2.3800000000000036E-3"/>
    <n v="0"/>
    <n v="0"/>
    <n v="581.97149999999999"/>
    <n v="-581.97149999999999"/>
    <n v="0"/>
    <m/>
    <n v="0.81430000000000002"/>
    <n v="-0.81430000000000002"/>
    <n v="0"/>
    <n v="1"/>
    <n v="0.16666666666666666"/>
    <s v="Weak"/>
  </r>
  <r>
    <s v="Republic Services, Inc."/>
    <s v="RSG"/>
    <x v="15"/>
    <n v="0.114250004"/>
    <n v="0.107585002"/>
    <n v="6.6650020000000032E-3"/>
    <n v="1"/>
    <n v="0.14799999999999999"/>
    <n v="0.17799999999999999"/>
    <n v="-0.03"/>
    <n v="0"/>
    <n v="0.70799999999999996"/>
    <n v="0.74199999999999999"/>
    <n v="-3.400000000000003E-2"/>
    <n v="0"/>
    <n v="5.4640002999999999E-2"/>
    <n v="6.2375001499999999E-2"/>
    <n v="-7.7349984999999996E-3"/>
    <n v="0"/>
    <n v="110.05200000000001"/>
    <n v="145.95850000000002"/>
    <n v="-35.906500000000008"/>
    <n v="0"/>
    <n v="0.14795999000000001"/>
    <n v="0.19602499500000001"/>
    <n v="-4.8065004999999994E-2"/>
    <n v="0"/>
    <n v="1"/>
    <n v="0.16666666666666666"/>
    <s v="Weak"/>
  </r>
  <r>
    <s v="Baxter International Inc."/>
    <s v="BAX"/>
    <x v="11"/>
    <n v="9.7500000000000003E-2"/>
    <n v="0.16214249875"/>
    <n v="-6.4642498749999999E-2"/>
    <n v="0"/>
    <n v="8.5000000000000006E-2"/>
    <n v="0.13175000000000001"/>
    <n v="-4.675E-2"/>
    <n v="0"/>
    <n v="2.3730000000000002"/>
    <n v="2.8327499999999999"/>
    <n v="-0.45974999999999966"/>
    <n v="0"/>
    <n v="6.2119998000000003E-2"/>
    <n v="8.047999950000001E-2"/>
    <n v="-1.8360001500000007E-2"/>
    <n v="0"/>
    <n v="73.057000000000002"/>
    <n v="45.386000000000003"/>
    <n v="27.670999999999999"/>
    <n v="1"/>
    <n v="0.14055000000000001"/>
    <n v="0.140782501"/>
    <n v="-2.3250099999999607E-4"/>
    <n v="0"/>
    <n v="1"/>
    <n v="0.16666666666666666"/>
    <s v="Weak"/>
  </r>
  <r>
    <s v="Global Payments Inc."/>
    <s v="GPN"/>
    <x v="23"/>
    <n v="0.11376"/>
    <n v="0.13438"/>
    <n v="-2.0619999999999999E-2"/>
    <n v="0"/>
    <n v="0.14799999999999999"/>
    <n v="0.121"/>
    <n v="2.6999999999999996E-2"/>
    <n v="1"/>
    <n v="1.151"/>
    <n v="1.1850000000000001"/>
    <n v="-3.400000000000003E-2"/>
    <n v="0"/>
    <n v="2.257E-2"/>
    <n v="6.6809997499999996E-2"/>
    <n v="-4.4239997499999996E-2"/>
    <n v="0"/>
    <n v="43.173000000000002"/>
    <n v="58.378999999999998"/>
    <n v="-15.205999999999996"/>
    <n v="0"/>
    <n v="3.5180000000000003E-2"/>
    <n v="0.17845501"/>
    <n v="-0.14327500999999998"/>
    <n v="0"/>
    <n v="1"/>
    <n v="0.16666666666666666"/>
    <s v="Weak"/>
  </r>
  <r>
    <s v="Phillips 66"/>
    <s v="PSX"/>
    <x v="42"/>
    <n v="1.1809999999999999E-2"/>
    <n v="3.3746666666666668E-2"/>
    <n v="-2.1936666666666667E-2"/>
    <n v="0"/>
    <n v="0.98899999999999999"/>
    <n v="1.0683333333333334"/>
    <n v="-7.9333333333333367E-2"/>
    <n v="0"/>
    <n v="1.1479999999999999"/>
    <n v="1.202"/>
    <n v="-5.4000000000000048E-2"/>
    <n v="0"/>
    <n v="7.1700000000000002E-3"/>
    <n v="1.6324999999999999E-2"/>
    <n v="-9.1549999999999999E-3"/>
    <n v="0"/>
    <n v="71.709999999999994"/>
    <n v="76.00233333333334"/>
    <n v="-4.292333333333346"/>
    <n v="0"/>
    <n v="7.3860005000000006E-2"/>
    <n v="7.2096668333333336E-2"/>
    <n v="1.7633366666666705E-3"/>
    <n v="1"/>
    <n v="1"/>
    <n v="0.16666666666666666"/>
    <s v="Weak"/>
  </r>
  <r>
    <s v="SBA Communications Corporation"/>
    <s v="SBAC"/>
    <x v="10"/>
    <n v="0.13091"/>
    <n v="0.16090750249999999"/>
    <n v="-2.9997502499999995E-2"/>
    <n v="0"/>
    <n v="0.127"/>
    <n v="0.14150000000000001"/>
    <n v="-1.4500000000000013E-2"/>
    <n v="0"/>
    <n v="0.68200000000000005"/>
    <n v="0.92549999999999988"/>
    <n v="-0.24349999999999983"/>
    <n v="0"/>
    <n v="5.203E-2"/>
    <n v="3.8689999999999995E-2"/>
    <n v="1.3340000000000005E-2"/>
    <n v="1"/>
    <n v="0"/>
    <n v="226.1405"/>
    <n v="-226.1405"/>
    <n v="0"/>
    <m/>
    <n v="0.17198999999999998"/>
    <n v="-0.17198999999999998"/>
    <n v="0"/>
    <n v="1"/>
    <n v="0.16666666666666666"/>
    <s v="Weak"/>
  </r>
  <r>
    <s v="Apple Inc."/>
    <s v="AAPL"/>
    <x v="56"/>
    <n v="0.26579002000000002"/>
    <n v="0.26579002000000002"/>
    <n v="0"/>
    <n v="0"/>
    <n v="0.112"/>
    <n v="0.112"/>
    <n v="0"/>
    <n v="0"/>
    <n v="1.038"/>
    <n v="1.038"/>
    <n v="0"/>
    <n v="0"/>
    <n v="0.19875000000000001"/>
    <n v="0.19875000000000001"/>
    <n v="0"/>
    <n v="0"/>
    <n v="170.714"/>
    <n v="170.714"/>
    <n v="0"/>
    <n v="0"/>
    <n v="1.45567"/>
    <n v="1.45567"/>
    <n v="0"/>
    <n v="0"/>
    <n v="0"/>
    <n v="0"/>
    <s v="Weak"/>
  </r>
  <r>
    <s v="Walmart Inc."/>
    <s v="WMT"/>
    <x v="16"/>
    <n v="2.3869999999999999E-2"/>
    <n v="4.7955999999999999E-2"/>
    <n v="-2.4086E-2"/>
    <n v="0"/>
    <n v="5.0000000000000001E-3"/>
    <n v="7.6399999999999996E-2"/>
    <n v="-7.1399999999999991E-2"/>
    <n v="0"/>
    <n v="0.92800000000000005"/>
    <n v="1.0478000000000001"/>
    <n v="-0.11980000000000002"/>
    <n v="0"/>
    <n v="6.5199999999999994E-2"/>
    <n v="7.6300002000000006E-2"/>
    <n v="-1.1100002000000012E-2"/>
    <n v="0"/>
    <n v="62.381999999999998"/>
    <n v="118.09080000000002"/>
    <n v="-55.708800000000018"/>
    <n v="0"/>
    <n v="0.15539"/>
    <n v="0.30520200399999997"/>
    <n v="-0.14981200399999997"/>
    <n v="0"/>
    <n v="0"/>
    <n v="0"/>
    <s v="Weak"/>
  </r>
  <r>
    <s v="Salesforce.com Inc"/>
    <s v="CRM"/>
    <x v="34"/>
    <n v="6.9610000000000005E-2"/>
    <n v="0.17165200400000002"/>
    <n v="-0.10204200400000002"/>
    <n v="0"/>
    <n v="0.26600000000000001"/>
    <n v="0.28060000000000002"/>
    <n v="-1.4600000000000002E-2"/>
    <n v="0"/>
    <n v="1.0609999999999999"/>
    <n v="1.3602000000000001"/>
    <n v="-0.29920000000000013"/>
    <n v="0"/>
    <n v="8.2799999999999992E-3"/>
    <n v="6.5944000000000003E-2"/>
    <n v="-5.7664000000000007E-2"/>
    <n v="0"/>
    <n v="25.131"/>
    <n v="73.073599999999999"/>
    <n v="-47.942599999999999"/>
    <n v="0"/>
    <n v="3.5720002000000001E-2"/>
    <n v="0.52347798119999989"/>
    <n v="-0.48775797919999986"/>
    <n v="0"/>
    <n v="0"/>
    <n v="0"/>
    <s v="Weak"/>
  </r>
  <r>
    <s v="Nike, Inc."/>
    <s v="NKE"/>
    <x v="57"/>
    <n v="0.13322000000000001"/>
    <n v="0.13322000000000001"/>
    <n v="0"/>
    <n v="0"/>
    <n v="0.01"/>
    <n v="0.01"/>
    <n v="0"/>
    <n v="0"/>
    <n v="3.0680000000000001"/>
    <n v="3.0680000000000001"/>
    <n v="0"/>
    <n v="0"/>
    <n v="0.12352"/>
    <n v="0.12352"/>
    <n v="0"/>
    <n v="0"/>
    <n v="85.251999999999995"/>
    <n v="85.251999999999995"/>
    <n v="0"/>
    <n v="0"/>
    <n v="0.48263"/>
    <n v="0.48263"/>
    <n v="0"/>
    <n v="0"/>
    <n v="0"/>
    <n v="0"/>
    <s v="Weak"/>
  </r>
  <r>
    <s v="AT&amp;T Inc."/>
    <s v="T"/>
    <x v="0"/>
    <n v="6.6500003000000002E-3"/>
    <n v="6.9526670100000007E-2"/>
    <n v="-6.2876669800000007E-2"/>
    <n v="0"/>
    <n v="-5.7000000000000002E-2"/>
    <n v="2.6666666666666644E-3"/>
    <n v="-5.9666666666666666E-2"/>
    <n v="0"/>
    <n v="0.70099999999999996"/>
    <n v="0.85466666666666669"/>
    <n v="-0.15366666666666673"/>
    <n v="0"/>
    <n v="3.7240000000000002E-2"/>
    <n v="4.439333333333334E-2"/>
    <n v="-7.1533333333333379E-3"/>
    <n v="0"/>
    <n v="115.572"/>
    <n v="167.02766666666668"/>
    <n v="-51.455666666666673"/>
    <n v="0"/>
    <n v="1.3679999999999999E-2"/>
    <n v="0.12344333333333335"/>
    <n v="-0.10976333333333335"/>
    <n v="0"/>
    <n v="0"/>
    <n v="0"/>
    <s v="Weak"/>
  </r>
  <r>
    <s v="Linde plc"/>
    <s v="LIN"/>
    <x v="43"/>
    <n v="0.12425"/>
    <n v="0.15536000333333333"/>
    <n v="-3.111000333333333E-2"/>
    <n v="0"/>
    <n v="0.14099999999999999"/>
    <n v="0.21066666666666664"/>
    <n v="-6.9666666666666655E-2"/>
    <n v="0"/>
    <n v="0.745"/>
    <n v="1.6655"/>
    <n v="-0.92049999999999998"/>
    <n v="0"/>
    <n v="4.0579999999999998E-2"/>
    <n v="6.7101666833333337E-2"/>
    <n v="-2.6521666833333339E-2"/>
    <n v="0"/>
    <n v="31.265000000000001"/>
    <n v="123.15566666666665"/>
    <n v="-91.890666666666647"/>
    <n v="0"/>
    <n v="8.3260000000000001E-2"/>
    <n v="0.26484833499999999"/>
    <n v="-0.18158833499999999"/>
    <n v="0"/>
    <n v="0"/>
    <n v="0"/>
    <s v="Weak"/>
  </r>
  <r>
    <s v="PayPal Holdings, Inc."/>
    <s v="PYPL"/>
    <x v="5"/>
    <n v="0.20086001000000001"/>
    <n v="0.39226666333333338"/>
    <n v="-0.19140665333333337"/>
    <n v="0"/>
    <n v="0.13200000000000001"/>
    <n v="0.21299999999999999"/>
    <n v="-8.0999999999999989E-2"/>
    <n v="0"/>
    <n v="1.298"/>
    <n v="1.327"/>
    <n v="-2.8999999999999915E-2"/>
    <n v="0"/>
    <n v="3.8110003000000003E-2"/>
    <n v="0.11619666766666666"/>
    <n v="-7.8086664666666653E-2"/>
    <n v="0"/>
    <n v="43.902000000000001"/>
    <n v="99.888333333333321"/>
    <n v="-55.98633333333332"/>
    <n v="0"/>
    <n v="0.24299999"/>
    <n v="0.61539335666666661"/>
    <n v="-0.37239336666666661"/>
    <n v="0"/>
    <n v="0"/>
    <n v="0"/>
    <s v="Weak"/>
  </r>
  <r>
    <s v="Prologis, Inc."/>
    <s v="PLD"/>
    <x v="2"/>
    <n v="0.40217999999999998"/>
    <n v="0.454235"/>
    <n v="-5.2055000000000018E-2"/>
    <n v="0"/>
    <n v="0.10199999999999999"/>
    <n v="0.16500000000000001"/>
    <n v="-6.3000000000000014E-2"/>
    <n v="0"/>
    <n v="0.84799999999999998"/>
    <n v="1.4615"/>
    <n v="-0.61350000000000005"/>
    <n v="0"/>
    <n v="1.9779999999999999E-2"/>
    <n v="4.9790000000000001E-2"/>
    <n v="-3.0010000000000002E-2"/>
    <n v="0"/>
    <n v="47.759"/>
    <n v="55.820499999999996"/>
    <n v="-8.0614999999999952"/>
    <n v="0"/>
    <n v="5.8860000000000003E-2"/>
    <n v="0.12606500000000001"/>
    <n v="-6.7205000000000015E-2"/>
    <n v="0"/>
    <n v="0"/>
    <n v="0"/>
    <s v="Weak"/>
  </r>
  <r>
    <s v="Boeing Company (The)"/>
    <s v="BA"/>
    <x v="9"/>
    <n v="-6.7460000000000006E-2"/>
    <n v="8.6845711000000006E-2"/>
    <n v="-0.15430571100000001"/>
    <n v="0"/>
    <n v="-3.3000000000000002E-2"/>
    <n v="-5.5714285714285701E-3"/>
    <n v="-2.7428571428571431E-2"/>
    <n v="0"/>
    <n v="1.325"/>
    <n v="1.9000000000000001"/>
    <n v="-0.57500000000000018"/>
    <n v="0"/>
    <n v="-2.1700000000000001E-3"/>
    <n v="5.5819999142857138E-2"/>
    <n v="-5.7989999142857136E-2"/>
    <n v="0"/>
    <n v="0"/>
    <n v="56.095714285714287"/>
    <n v="-56.095714285714287"/>
    <n v="0"/>
    <m/>
    <n v="0.33201799800000004"/>
    <n v="-0.33201799800000004"/>
    <n v="0"/>
    <n v="0"/>
    <n v="0"/>
    <s v="Weak"/>
  </r>
  <r>
    <s v="Altria Group, Inc."/>
    <s v="MO"/>
    <x v="32"/>
    <n v="0.13164000000000001"/>
    <n v="0.21205499999999999"/>
    <n v="-8.0414999999999986E-2"/>
    <n v="0"/>
    <n v="-2.5999999999999999E-2"/>
    <n v="3.2500000000000001E-2"/>
    <n v="-5.8499999999999996E-2"/>
    <n v="0"/>
    <n v="0.74199999999999999"/>
    <n v="0.87"/>
    <n v="-0.128"/>
    <n v="0"/>
    <n v="0.17232001"/>
    <n v="0.187360005"/>
    <n v="-1.5039995E-2"/>
    <n v="0"/>
    <n v="0"/>
    <n v="0"/>
    <n v="0"/>
    <n v="0"/>
    <n v="2.7119799000000002"/>
    <n v="2.7119799000000002"/>
    <n v="0"/>
    <n v="0"/>
    <n v="0"/>
    <n v="0"/>
    <s v="Weak"/>
  </r>
  <r>
    <s v="Booking Holdings Inc. Common St"/>
    <s v="BKNG"/>
    <x v="58"/>
    <n v="4.1450000000000001E-2"/>
    <n v="4.1450000000000001E-2"/>
    <n v="0"/>
    <n v="0"/>
    <n v="0.77100000000000002"/>
    <n v="0.77100000000000002"/>
    <n v="0"/>
    <n v="0"/>
    <n v="2.4830000000000001"/>
    <n v="2.4830000000000001"/>
    <n v="0"/>
    <n v="0"/>
    <n v="4.3749999999999997E-2"/>
    <n v="4.3749999999999997E-2"/>
    <n v="0"/>
    <n v="0"/>
    <n v="208.00700000000001"/>
    <n v="208.00700000000001"/>
    <n v="0"/>
    <n v="0"/>
    <n v="7.3050000000000004E-2"/>
    <n v="7.3050000000000004E-2"/>
    <n v="0"/>
    <n v="0"/>
    <n v="0"/>
    <n v="0"/>
    <s v="Weak"/>
  </r>
  <r>
    <s v="Zoetis Inc."/>
    <s v="ZTS"/>
    <x v="59"/>
    <n v="0.26196000000000003"/>
    <n v="0.26196000000000003"/>
    <n v="0"/>
    <n v="0"/>
    <n v="8.8999999999999996E-2"/>
    <n v="8.8999999999999996E-2"/>
    <n v="0"/>
    <n v="0"/>
    <n v="3.8559999999999999"/>
    <n v="3.8559999999999999"/>
    <n v="0"/>
    <n v="0"/>
    <n v="0.12773000000000001"/>
    <n v="0.12773000000000001"/>
    <n v="0"/>
    <n v="0"/>
    <n v="149.47200000000001"/>
    <n v="149.47200000000001"/>
    <n v="0"/>
    <n v="0"/>
    <n v="0.48911998000000001"/>
    <n v="0.48911998000000001"/>
    <n v="0"/>
    <n v="0"/>
    <n v="0"/>
    <n v="0"/>
    <s v="Weak"/>
  </r>
  <r>
    <s v="HCA Healthcare, Inc."/>
    <s v="HCA"/>
    <x v="60"/>
    <n v="0.11328000000000001"/>
    <n v="0.11328000000000001"/>
    <n v="0"/>
    <n v="0"/>
    <n v="0.14799999999999999"/>
    <n v="0.14799999999999999"/>
    <n v="0"/>
    <n v="0"/>
    <n v="1.377"/>
    <n v="1.377"/>
    <n v="0"/>
    <n v="0"/>
    <n v="0.12033000000000001"/>
    <n v="0.12033000000000001"/>
    <n v="0"/>
    <n v="0"/>
    <n v="1866.3009999999999"/>
    <n v="1866.3009999999999"/>
    <n v="0"/>
    <n v="0"/>
    <n v="4.7439200000000001"/>
    <n v="4.7439200000000001"/>
    <n v="0"/>
    <n v="0"/>
    <n v="0"/>
    <n v="0"/>
    <s v="Weak"/>
  </r>
  <r>
    <s v="Freeport-McMoRan, Inc."/>
    <s v="FCX"/>
    <x v="61"/>
    <n v="0.18848999999999999"/>
    <n v="0.18848999999999999"/>
    <n v="0"/>
    <n v="0"/>
    <n v="0.371"/>
    <n v="0.371"/>
    <n v="0"/>
    <n v="0"/>
    <n v="2.5169999999999999"/>
    <n v="2.5169999999999999"/>
    <n v="0"/>
    <n v="0"/>
    <n v="0.11497"/>
    <n v="0.11497"/>
    <n v="0"/>
    <n v="0"/>
    <n v="42.439"/>
    <n v="42.439"/>
    <n v="0"/>
    <n v="0"/>
    <n v="0.25739000000000001"/>
    <n v="0.25739000000000001"/>
    <n v="0"/>
    <n v="0"/>
    <n v="0"/>
    <n v="0"/>
    <s v="Weak"/>
  </r>
  <r>
    <s v="TJX Companies, Inc. (The)"/>
    <s v="TJX"/>
    <x v="62"/>
    <n v="5.8459999999999998E-2"/>
    <n v="5.8459999999999998E-2"/>
    <n v="0"/>
    <n v="0"/>
    <n v="0.23899999999999999"/>
    <n v="0.23899999999999999"/>
    <n v="0"/>
    <n v="0"/>
    <n v="1.2869999999999999"/>
    <n v="1.2869999999999999"/>
    <n v="0"/>
    <n v="0"/>
    <n v="7.8009999999999996E-2"/>
    <n v="7.8009999999999996E-2"/>
    <n v="0"/>
    <n v="0"/>
    <n v="198.94200000000001"/>
    <n v="198.94200000000001"/>
    <n v="0"/>
    <n v="0"/>
    <n v="0.44425999999999999"/>
    <n v="0.44425999999999999"/>
    <n v="0"/>
    <n v="0"/>
    <n v="0"/>
    <n v="0"/>
    <s v="Weak"/>
  </r>
  <r>
    <s v="Norfolk Southern Corporation"/>
    <s v="NSC"/>
    <x v="30"/>
    <n v="0.26843"/>
    <n v="0.29006333333333334"/>
    <n v="-2.1633333333333338E-2"/>
    <n v="0"/>
    <n v="0.13800000000000001"/>
    <n v="0.16533333333333333"/>
    <n v="-2.7333333333333321E-2"/>
    <n v="0"/>
    <n v="1.129"/>
    <n v="1.155"/>
    <n v="-2.6000000000000023E-2"/>
    <n v="0"/>
    <n v="7.1650000000000005E-2"/>
    <n v="8.1653329666666663E-2"/>
    <n v="-1.0003329666666658E-2"/>
    <n v="0"/>
    <n v="103.449"/>
    <n v="151.30633333333336"/>
    <n v="-47.857333333333358"/>
    <n v="0"/>
    <n v="0.20230000000000001"/>
    <n v="0.30002334000000003"/>
    <n v="-9.772334000000002E-2"/>
    <n v="0"/>
    <n v="0"/>
    <n v="0"/>
    <s v="Weak"/>
  </r>
  <r>
    <s v="Newmont Corporation"/>
    <s v="NEM"/>
    <x v="63"/>
    <n v="0.16670999"/>
    <n v="0.16670999"/>
    <n v="0"/>
    <n v="0"/>
    <n v="-8.6999999999999994E-2"/>
    <n v="-8.6999999999999994E-2"/>
    <n v="0"/>
    <n v="0"/>
    <n v="2.67"/>
    <n v="2.67"/>
    <n v="0"/>
    <n v="0"/>
    <n v="5.7789996000000003E-2"/>
    <n v="5.7789996000000003E-2"/>
    <n v="0"/>
    <n v="0"/>
    <n v="26.806000000000001"/>
    <n v="26.806000000000001"/>
    <n v="0"/>
    <n v="0"/>
    <n v="7.2529999999999997E-2"/>
    <n v="7.2529999999999997E-2"/>
    <n v="0"/>
    <n v="0"/>
    <n v="0"/>
    <n v="0"/>
    <s v="Weak"/>
  </r>
  <r>
    <s v="Eaton Corporation, PLC"/>
    <s v="ETN"/>
    <x v="1"/>
    <n v="0.10923000400000001"/>
    <n v="0.12041000057142859"/>
    <n v="-1.1179996571428583E-2"/>
    <n v="0"/>
    <n v="2.4E-2"/>
    <n v="7.0857142857142855E-2"/>
    <n v="-4.6857142857142854E-2"/>
    <n v="0"/>
    <n v="1.0409999999999999"/>
    <n v="1.4689999999999999"/>
    <n v="-0.42799999999999994"/>
    <n v="0"/>
    <n v="4.675E-2"/>
    <n v="6.6908572285714271E-2"/>
    <n v="-2.0158572285714271E-2"/>
    <n v="0"/>
    <n v="54.197000000000003"/>
    <n v="107.70214285714285"/>
    <n v="-53.505142857142843"/>
    <n v="0"/>
    <n v="0.13658000000000001"/>
    <n v="0.26455856971428571"/>
    <n v="-0.1279785697142857"/>
    <n v="0"/>
    <n v="0"/>
    <n v="0"/>
    <s v="Weak"/>
  </r>
  <r>
    <s v="Fidelity National Information S"/>
    <s v="FIS"/>
    <x v="7"/>
    <n v="3.0050001999999999E-2"/>
    <n v="8.1440000400000018E-2"/>
    <n v="-5.1389998400000018E-2"/>
    <n v="0"/>
    <n v="0.107"/>
    <n v="0.12479999999999999"/>
    <n v="-1.7799999999999996E-2"/>
    <n v="0"/>
    <n v="0.74"/>
    <n v="1.1856"/>
    <n v="-0.4456"/>
    <n v="0"/>
    <n v="9.7400000000000004E-3"/>
    <n v="5.8694001199999998E-2"/>
    <n v="-4.89540012E-2"/>
    <n v="0"/>
    <n v="43.921999999999997"/>
    <n v="80.509399999999999"/>
    <n v="-36.587400000000002"/>
    <n v="0"/>
    <n v="8.7399999999999995E-3"/>
    <n v="0.15423999999999999"/>
    <n v="-0.14549999999999999"/>
    <n v="0"/>
    <n v="0"/>
    <n v="0"/>
    <s v="Weak"/>
  </r>
  <r>
    <s v="American International Group, I"/>
    <s v="AIG"/>
    <x v="64"/>
    <n v="0.11803999499999999"/>
    <n v="0.11803999499999999"/>
    <n v="0"/>
    <n v="0"/>
    <n v="0.30199999999999999"/>
    <n v="0.30199999999999999"/>
    <n v="0"/>
    <n v="0"/>
    <n v="0.74299999999999999"/>
    <n v="0.74299999999999999"/>
    <n v="0"/>
    <n v="0"/>
    <n v="8.4100000000000008E-3"/>
    <n v="8.4100000000000008E-3"/>
    <n v="0"/>
    <n v="0"/>
    <n v="48.051000000000002"/>
    <n v="48.051000000000002"/>
    <n v="0"/>
    <n v="0"/>
    <n v="8.906E-2"/>
    <n v="8.906E-2"/>
    <n v="0"/>
    <n v="0"/>
    <n v="0"/>
    <n v="0"/>
    <s v="Weak"/>
  </r>
  <r>
    <s v="Archer-Daniels-Midland Company"/>
    <s v="ADM"/>
    <x v="65"/>
    <n v="3.2620000000000003E-2"/>
    <n v="3.2620000000000003E-2"/>
    <n v="0"/>
    <n v="0"/>
    <n v="0.34499999999999997"/>
    <n v="0.34499999999999997"/>
    <n v="0"/>
    <n v="0"/>
    <n v="1.577"/>
    <n v="1.577"/>
    <n v="0"/>
    <n v="0"/>
    <n v="3.5479999999999998E-2"/>
    <n v="3.5479999999999998E-2"/>
    <n v="0"/>
    <n v="0"/>
    <n v="44.843000000000004"/>
    <n v="44.843000000000004"/>
    <n v="0"/>
    <n v="0"/>
    <n v="0.12636"/>
    <n v="0.12636"/>
    <n v="0"/>
    <n v="0"/>
    <n v="0"/>
    <n v="0"/>
    <s v="Weak"/>
  </r>
  <r>
    <s v="L3Harris Technologies, Inc."/>
    <s v="LHX"/>
    <x v="9"/>
    <n v="8.5800000000000001E-2"/>
    <n v="8.6845711000000006E-2"/>
    <n v="-1.0457110000000047E-3"/>
    <n v="0"/>
    <n v="-5.1999999999999998E-2"/>
    <n v="-5.5714285714285701E-3"/>
    <n v="-4.642857142857143E-2"/>
    <n v="0"/>
    <n v="1.536"/>
    <n v="1.9000000000000001"/>
    <n v="-0.3640000000000001"/>
    <n v="0"/>
    <n v="4.7270003999999997E-2"/>
    <n v="5.5819999142857138E-2"/>
    <n v="-8.5499951428571405E-3"/>
    <n v="0"/>
    <n v="40.103999999999999"/>
    <n v="56.095714285714287"/>
    <n v="-15.991714285714288"/>
    <n v="0"/>
    <n v="7.5209999999999999E-2"/>
    <n v="0.33201799800000004"/>
    <n v="-0.25680799800000004"/>
    <n v="0"/>
    <n v="0"/>
    <n v="0"/>
    <s v="Weak"/>
  </r>
  <r>
    <s v="Dow Inc."/>
    <s v="DOW"/>
    <x v="66"/>
    <n v="0.11324999500000001"/>
    <n v="0.11324999500000001"/>
    <n v="0"/>
    <n v="0"/>
    <n v="0.52800000000000002"/>
    <n v="0.52800000000000002"/>
    <n v="0"/>
    <n v="0"/>
    <n v="1.5940000000000001"/>
    <n v="1.5940000000000001"/>
    <n v="0"/>
    <n v="0"/>
    <n v="7.3959999999999998E-2"/>
    <n v="7.3959999999999998E-2"/>
    <n v="0"/>
    <n v="0"/>
    <n v="97.456999999999994"/>
    <n v="97.456999999999994"/>
    <n v="0"/>
    <n v="0"/>
    <n v="0.39372003"/>
    <n v="0.39372003"/>
    <n v="0"/>
    <n v="0"/>
    <n v="0"/>
    <n v="0"/>
    <s v="Weak"/>
  </r>
  <r>
    <s v="Johnson Controls International "/>
    <s v="JCI"/>
    <x v="67"/>
    <n v="6.9169999999999995E-2"/>
    <n v="6.9169999999999995E-2"/>
    <n v="0"/>
    <n v="0"/>
    <n v="7.3999999999999996E-2"/>
    <n v="7.3999999999999996E-2"/>
    <n v="0"/>
    <n v="0"/>
    <n v="1.099"/>
    <n v="1.099"/>
    <n v="0"/>
    <n v="0"/>
    <n v="5.0250000000000003E-2"/>
    <n v="5.0250000000000003E-2"/>
    <n v="0"/>
    <n v="0"/>
    <n v="48.6"/>
    <n v="48.6"/>
    <n v="0"/>
    <n v="0"/>
    <n v="9.3649999999999997E-2"/>
    <n v="9.3649999999999997E-2"/>
    <n v="0"/>
    <n v="0"/>
    <n v="0"/>
    <n v="0"/>
    <s v="Weak"/>
  </r>
  <r>
    <s v="McKesson Corporation"/>
    <s v="MCK"/>
    <x v="68"/>
    <n v="5.4900004000000002E-3"/>
    <n v="5.4900004000000002E-3"/>
    <n v="0"/>
    <n v="0"/>
    <n v="9.6000000000000002E-2"/>
    <n v="9.6000000000000002E-2"/>
    <n v="0"/>
    <n v="0"/>
    <n v="0.98"/>
    <n v="0.98"/>
    <n v="0"/>
    <n v="0"/>
    <n v="2.6859999999999998E-2"/>
    <n v="2.6859999999999998E-2"/>
    <n v="0"/>
    <n v="0"/>
    <n v="0"/>
    <n v="0"/>
    <n v="0"/>
    <n v="0"/>
    <n v="14.01754"/>
    <n v="14.01754"/>
    <n v="0"/>
    <n v="0"/>
    <n v="0"/>
    <n v="0"/>
    <s v="Weak"/>
  </r>
  <r>
    <s v="The Travelers Companies, Inc."/>
    <s v="TRV"/>
    <x v="26"/>
    <n v="0.10640000600000001"/>
    <n v="0.10666250150000001"/>
    <n v="-2.6249550000000121E-4"/>
    <n v="0"/>
    <n v="6.4000000000000001E-2"/>
    <n v="0.12125000000000001"/>
    <n v="-5.7250000000000009E-2"/>
    <n v="0"/>
    <n v="0.36099999999999999"/>
    <n v="0.36975000000000002"/>
    <n v="-8.7500000000000355E-3"/>
    <n v="0"/>
    <n v="2.5090002E-2"/>
    <n v="3.255500075E-2"/>
    <n v="-7.4649987500000001E-3"/>
    <n v="0"/>
    <n v="25.602"/>
    <n v="29.932749999999999"/>
    <n v="-4.3307499999999983"/>
    <n v="0"/>
    <n v="0.12922"/>
    <n v="0.16450249750000001"/>
    <n v="-3.528249750000001E-2"/>
    <n v="0"/>
    <n v="0"/>
    <n v="0"/>
    <s v="Weak"/>
  </r>
  <r>
    <s v="Corteva, Inc."/>
    <s v="CTVA"/>
    <x v="69"/>
    <n v="0.10668000599999999"/>
    <n v="0.10668000599999999"/>
    <n v="0"/>
    <n v="0"/>
    <n v="0.27300000000000002"/>
    <n v="0.27300000000000002"/>
    <n v="0"/>
    <n v="0"/>
    <n v="1.8120000000000001"/>
    <n v="1.8120000000000001"/>
    <n v="0"/>
    <n v="0"/>
    <n v="1.3890001000000001E-2"/>
    <n v="1.3890001000000001E-2"/>
    <n v="0"/>
    <n v="0"/>
    <n v="9.9"/>
    <n v="9.9"/>
    <n v="0"/>
    <n v="0"/>
    <n v="7.1609995999999995E-2"/>
    <n v="7.1609995999999995E-2"/>
    <n v="0"/>
    <n v="0"/>
    <n v="0"/>
    <n v="0"/>
    <s v="Weak"/>
  </r>
  <r>
    <s v="Constellation Brands, Inc."/>
    <s v="STZ"/>
    <x v="70"/>
    <n v="-6.1000003000000001E-3"/>
    <n v="-6.1000003000000001E-3"/>
    <n v="0"/>
    <n v="0"/>
    <n v="-4.8000000000000001E-2"/>
    <n v="-4.8000000000000001E-2"/>
    <n v="0"/>
    <n v="0"/>
    <n v="1.502"/>
    <n v="1.502"/>
    <n v="0"/>
    <n v="0"/>
    <n v="6.8760000000000002E-2"/>
    <n v="6.8760000000000002E-2"/>
    <n v="0"/>
    <n v="0"/>
    <n v="90.09"/>
    <n v="90.09"/>
    <n v="0"/>
    <n v="0"/>
    <n v="-1.1100000999999999E-3"/>
    <n v="-1.1100000999999999E-3"/>
    <n v="0"/>
    <n v="0"/>
    <n v="0"/>
    <n v="0"/>
    <s v="Weak"/>
  </r>
  <r>
    <s v="Welltower Inc."/>
    <s v="WELL"/>
    <x v="71"/>
    <n v="9.6860000000000002E-2"/>
    <n v="9.6860000000000002E-2"/>
    <n v="0"/>
    <n v="0"/>
    <n v="0.19600000000000001"/>
    <n v="0.19600000000000001"/>
    <n v="0"/>
    <n v="0"/>
    <n v="1.694"/>
    <n v="1.694"/>
    <n v="0"/>
    <n v="0"/>
    <n v="1.3569999500000001E-2"/>
    <n v="1.3569999500000001E-2"/>
    <n v="0"/>
    <n v="0"/>
    <n v="78.370999999999995"/>
    <n v="78.370999999999995"/>
    <n v="0"/>
    <n v="0"/>
    <n v="2.614E-2"/>
    <n v="2.614E-2"/>
    <n v="0"/>
    <n v="0"/>
    <n v="0"/>
    <n v="0"/>
    <s v="Weak"/>
  </r>
  <r>
    <s v="Sysco Corporation"/>
    <s v="SYY"/>
    <x v="72"/>
    <n v="1.2930000000000001E-2"/>
    <n v="1.2930000000000001E-2"/>
    <n v="0"/>
    <n v="0"/>
    <n v="0.41199999999999998"/>
    <n v="0.41199999999999998"/>
    <n v="0"/>
    <n v="0"/>
    <n v="1.325"/>
    <n v="1.325"/>
    <n v="0"/>
    <n v="0"/>
    <n v="5.8349999999999999E-2"/>
    <n v="5.8349999999999999E-2"/>
    <n v="0"/>
    <n v="0"/>
    <n v="944.60599999999999"/>
    <n v="944.60599999999999"/>
    <n v="0"/>
    <n v="0"/>
    <n v="0.57828999999999997"/>
    <n v="0.57828999999999997"/>
    <n v="0"/>
    <n v="0"/>
    <n v="0"/>
    <n v="0"/>
    <s v="Weak"/>
  </r>
  <r>
    <s v="Kroger Company (The)"/>
    <s v="KR"/>
    <x v="73"/>
    <n v="7.4699995999999999E-3"/>
    <n v="7.4699995999999999E-3"/>
    <n v="0"/>
    <n v="0"/>
    <n v="7.1999999999999995E-2"/>
    <n v="7.1999999999999995E-2"/>
    <n v="0"/>
    <n v="0"/>
    <n v="0.79700000000000004"/>
    <n v="0.79700000000000004"/>
    <n v="0"/>
    <n v="0"/>
    <n v="3.3570003000000001E-2"/>
    <n v="3.3570003000000001E-2"/>
    <n v="0"/>
    <n v="0"/>
    <n v="218.16499999999999"/>
    <n v="218.16499999999999"/>
    <n v="0"/>
    <n v="0"/>
    <n v="0.10453"/>
    <n v="0.10453"/>
    <n v="0"/>
    <n v="0"/>
    <n v="0"/>
    <n v="0"/>
    <s v="Weak"/>
  </r>
  <r>
    <s v="Nucor Corporation"/>
    <s v="NUE"/>
    <x v="74"/>
    <n v="0.15856999999999999"/>
    <n v="0.15856999999999999"/>
    <n v="0"/>
    <n v="0"/>
    <n v="1.093"/>
    <n v="1.093"/>
    <n v="0"/>
    <n v="0"/>
    <n v="2.5270000000000001"/>
    <n v="2.5270000000000001"/>
    <n v="0"/>
    <n v="0"/>
    <n v="0.19094999000000001"/>
    <n v="0.19094999000000001"/>
    <n v="0"/>
    <n v="0"/>
    <n v="41.688000000000002"/>
    <n v="41.688000000000002"/>
    <n v="0"/>
    <n v="0"/>
    <n v="0.42226999999999998"/>
    <n v="0.42226999999999998"/>
    <n v="0"/>
    <n v="0"/>
    <n v="0"/>
    <n v="0"/>
    <s v="Weak"/>
  </r>
  <r>
    <s v="Walgreens Boots Alliance, Inc."/>
    <s v="WBA"/>
    <x v="75"/>
    <n v="4.7640000000000002E-2"/>
    <n v="4.7640000000000002E-2"/>
    <n v="0"/>
    <n v="0"/>
    <n v="7.8E-2"/>
    <n v="7.8E-2"/>
    <n v="0"/>
    <n v="0"/>
    <n v="0.83099999999999996"/>
    <n v="0.83099999999999996"/>
    <n v="0"/>
    <n v="0"/>
    <n v="2.649E-2"/>
    <n v="2.649E-2"/>
    <n v="0"/>
    <n v="0"/>
    <n v="117.569"/>
    <n v="117.569"/>
    <n v="0"/>
    <n v="0"/>
    <n v="0.21708"/>
    <n v="0.21708"/>
    <n v="0"/>
    <n v="0"/>
    <n v="0"/>
    <n v="0"/>
    <s v="Weak"/>
  </r>
  <r>
    <s v="HP Inc."/>
    <s v="HPQ"/>
    <x v="22"/>
    <n v="0.10242999999999999"/>
    <n v="0.19272"/>
    <n v="-9.0290000000000009E-2"/>
    <n v="0"/>
    <n v="9.2999999999999999E-2"/>
    <n v="0.16499999999999998"/>
    <n v="-7.1999999999999981E-2"/>
    <n v="0"/>
    <n v="0.76200000000000001"/>
    <n v="2.9130000000000003"/>
    <n v="-2.1510000000000002"/>
    <n v="0"/>
    <n v="9.9110000000000004E-2"/>
    <n v="0.10383499800000001"/>
    <n v="-4.724998000000008E-3"/>
    <n v="0"/>
    <n v="0"/>
    <n v="0.79700000000000004"/>
    <n v="-0.79700000000000004"/>
    <n v="0"/>
    <m/>
    <n v="0.22579001000000001"/>
    <n v="-0.22579001000000001"/>
    <n v="0"/>
    <n v="0"/>
    <n v="0"/>
    <s v="Weak"/>
  </r>
  <r>
    <s v="Baker Hughes Company"/>
    <s v="BKR"/>
    <x v="45"/>
    <n v="6.8199999999999997E-3"/>
    <n v="3.8926667999999998E-2"/>
    <n v="-3.2106667999999998E-2"/>
    <n v="0"/>
    <n v="8.9999999999999993E-3"/>
    <n v="0.14366666666666666"/>
    <n v="-0.13466666666666666"/>
    <n v="0"/>
    <n v="1.5920000000000001"/>
    <n v="1.7346666666666668"/>
    <n v="-0.14266666666666672"/>
    <n v="0"/>
    <n v="3.0259999999999999E-2"/>
    <n v="3.8259999999999995E-2"/>
    <n v="-7.9999999999999967E-3"/>
    <n v="0"/>
    <n v="39.704000000000001"/>
    <n v="106.27766666666666"/>
    <n v="-66.573666666666668"/>
    <n v="0"/>
    <n v="1.6629999999999999E-2"/>
    <n v="7.715000000000001E-2"/>
    <n v="-6.0520000000000011E-2"/>
    <n v="0"/>
    <n v="0"/>
    <n v="0"/>
    <s v="Weak"/>
  </r>
  <r>
    <s v="Carrier Global Corporation"/>
    <s v="CARR"/>
    <x v="76"/>
    <n v="8.0719990000000005E-2"/>
    <n v="8.0719990000000005E-2"/>
    <n v="0"/>
    <n v="0"/>
    <n v="0.11700000000000001"/>
    <n v="0.11700000000000001"/>
    <n v="0"/>
    <n v="0"/>
    <n v="1.7210000000000001"/>
    <n v="1.7210000000000001"/>
    <n v="0"/>
    <n v="0"/>
    <n v="6.2609999999999999E-2"/>
    <n v="6.2609999999999999E-2"/>
    <n v="0"/>
    <n v="0"/>
    <n v="145.94"/>
    <n v="145.94"/>
    <n v="0"/>
    <n v="0"/>
    <n v="0.24882999"/>
    <n v="0.24882999"/>
    <n v="0"/>
    <n v="0"/>
    <n v="0"/>
    <n v="0"/>
    <s v="Weak"/>
  </r>
  <r>
    <s v="Digital Realty Trust, Inc."/>
    <s v="DLR"/>
    <x v="77"/>
    <n v="0.38617000000000001"/>
    <n v="0.38617000000000001"/>
    <n v="0"/>
    <n v="0"/>
    <n v="8.9999999999999993E-3"/>
    <n v="8.9999999999999993E-3"/>
    <n v="0"/>
    <n v="0"/>
    <n v="0.63100000000000001"/>
    <n v="0.63100000000000001"/>
    <n v="0"/>
    <n v="0"/>
    <n v="1.308E-2"/>
    <n v="1.308E-2"/>
    <n v="0"/>
    <n v="0"/>
    <n v="81.942999999999998"/>
    <n v="81.942999999999998"/>
    <n v="0"/>
    <n v="0"/>
    <n v="9.4420000000000004E-2"/>
    <n v="9.4420000000000004E-2"/>
    <n v="0"/>
    <n v="0"/>
    <n v="0"/>
    <n v="0"/>
    <s v="Weak"/>
  </r>
  <r>
    <s v="Old Dominion Freight Line, Inc."/>
    <s v="ODFL"/>
    <x v="78"/>
    <n v="0.19679000999999999"/>
    <n v="0.19679000999999999"/>
    <n v="0"/>
    <n v="0"/>
    <n v="0.314"/>
    <n v="0.314"/>
    <n v="0"/>
    <n v="0"/>
    <n v="2.9809999999999999"/>
    <n v="2.9809999999999999"/>
    <n v="0"/>
    <n v="0"/>
    <n v="0.18926000000000001"/>
    <n v="0.18926000000000001"/>
    <n v="0"/>
    <n v="0"/>
    <n v="5.51"/>
    <n v="5.51"/>
    <n v="0"/>
    <n v="0"/>
    <n v="0.29527999999999999"/>
    <n v="0.29527999999999999"/>
    <n v="0"/>
    <n v="0"/>
    <n v="0"/>
    <n v="0"/>
    <s v="Weak"/>
  </r>
  <r>
    <s v="AvalonBay Communities, Inc."/>
    <s v="AVB"/>
    <x v="79"/>
    <n v="0.44369999999999998"/>
    <n v="0.44369999999999998"/>
    <n v="0"/>
    <n v="0"/>
    <n v="2.5999999999999999E-2"/>
    <n v="2.5999999999999999E-2"/>
    <n v="0"/>
    <n v="0"/>
    <n v="1.0449999999999999"/>
    <n v="1.0449999999999999"/>
    <n v="0"/>
    <n v="0"/>
    <n v="1.983E-2"/>
    <n v="1.983E-2"/>
    <n v="0"/>
    <n v="0"/>
    <n v="73.709000000000003"/>
    <n v="73.709000000000003"/>
    <n v="0"/>
    <n v="0"/>
    <n v="9.4130000000000005E-2"/>
    <n v="9.4130000000000005E-2"/>
    <n v="0"/>
    <n v="0"/>
    <n v="0"/>
    <n v="0"/>
    <s v="Weak"/>
  </r>
  <r>
    <s v="Verisk Analytics, Inc."/>
    <s v="VRSK"/>
    <x v="80"/>
    <n v="0.23777999999999999"/>
    <n v="0.23777999999999999"/>
    <n v="0"/>
    <n v="0"/>
    <n v="0.08"/>
    <n v="0.08"/>
    <n v="0"/>
    <n v="0"/>
    <n v="0.50700000000000001"/>
    <n v="0.50700000000000001"/>
    <n v="0"/>
    <n v="0"/>
    <n v="8.9020009999999997E-2"/>
    <n v="8.9020009999999997E-2"/>
    <n v="0"/>
    <n v="0"/>
    <n v="124.735"/>
    <n v="124.735"/>
    <n v="0"/>
    <n v="0"/>
    <n v="0.27184999999999998"/>
    <n v="0.27184999999999998"/>
    <n v="0"/>
    <n v="0"/>
    <n v="0"/>
    <n v="0"/>
    <s v="Wea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83640-7A28-4306-921A-B9CA100A713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G83" firstHeaderRow="0" firstDataRow="1" firstDataCol="1"/>
  <pivotFields count="17">
    <pivotField showAll="0"/>
    <pivotField showAll="0"/>
    <pivotField axis="axisRow" showAll="0">
      <items count="82">
        <item x="27"/>
        <item x="68"/>
        <item x="48"/>
        <item x="35"/>
        <item x="4"/>
        <item x="13"/>
        <item x="69"/>
        <item x="47"/>
        <item x="76"/>
        <item x="59"/>
        <item x="15"/>
        <item x="65"/>
        <item x="43"/>
        <item x="31"/>
        <item x="80"/>
        <item x="0"/>
        <item x="46"/>
        <item x="7"/>
        <item x="16"/>
        <item x="9"/>
        <item x="8"/>
        <item x="42"/>
        <item x="64"/>
        <item x="50"/>
        <item x="61"/>
        <item x="14"/>
        <item x="32"/>
        <item x="56"/>
        <item x="29"/>
        <item x="71"/>
        <item x="21"/>
        <item x="51"/>
        <item x="72"/>
        <item x="6"/>
        <item x="12"/>
        <item x="10"/>
        <item x="17"/>
        <item x="44"/>
        <item x="55"/>
        <item x="53"/>
        <item x="41"/>
        <item x="22"/>
        <item x="2"/>
        <item x="3"/>
        <item x="54"/>
        <item x="45"/>
        <item x="20"/>
        <item x="62"/>
        <item x="38"/>
        <item x="30"/>
        <item x="52"/>
        <item x="11"/>
        <item x="73"/>
        <item x="63"/>
        <item x="58"/>
        <item x="75"/>
        <item x="24"/>
        <item x="70"/>
        <item x="34"/>
        <item x="77"/>
        <item x="79"/>
        <item x="66"/>
        <item x="36"/>
        <item x="23"/>
        <item x="33"/>
        <item x="5"/>
        <item x="19"/>
        <item x="1"/>
        <item x="67"/>
        <item x="26"/>
        <item x="37"/>
        <item x="60"/>
        <item x="40"/>
        <item x="74"/>
        <item x="18"/>
        <item x="28"/>
        <item x="39"/>
        <item x="78"/>
        <item x="57"/>
        <item x="25"/>
        <item x="49"/>
        <item t="default"/>
      </items>
    </pivotField>
    <pivotField dataField="1" numFmtId="10" showAll="0"/>
    <pivotField dataField="1" numFmtId="10"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Profit Margin" fld="3" subtotal="average" baseField="2" baseItem="0" numFmtId="10"/>
    <dataField name="Average of Revenue Growth" fld="4" subtotal="average" baseField="2" baseItem="0" numFmtId="10"/>
    <dataField name="Average of Current Ratio" fld="6" subtotal="average" baseField="2" baseItem="0" numFmtId="2"/>
    <dataField name="Average of ROA" fld="7" subtotal="average" baseField="2" baseItem="0" numFmtId="10"/>
    <dataField name="Average of Debt-to-Equity" fld="8" subtotal="average" baseField="2" baseItem="0" numFmtId="2"/>
    <dataField name="Average of ROE" fld="9" subtotal="average" baseField="2" baseItem="0" numFmtId="10"/>
  </dataFields>
  <formats count="17">
    <format dxfId="4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7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2" type="button" dataOnly="0" labelOnly="1" outline="0" axis="axisRow" fieldPosition="0"/>
    </format>
    <format dxfId="38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7">
      <pivotArea dataOnly="0" labelOnly="1" fieldPosition="0">
        <references count="1">
          <reference field="2" count="3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</reference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4">
      <pivotArea field="2" type="button" dataOnly="0" labelOnly="1" outline="0" axis="axisRow" fieldPosition="0"/>
    </format>
    <format dxfId="3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4B943-A9D3-48D4-B4CD-F36469108FDE}" name="PivotTable3" cacheId="1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Industry">
  <location ref="G2:N83" firstHeaderRow="0" firstDataRow="1" firstDataCol="1"/>
  <pivotFields count="30">
    <pivotField dataField="1" showAll="0"/>
    <pivotField showAll="0"/>
    <pivotField axis="axisRow" showAll="0">
      <items count="82">
        <item x="9"/>
        <item x="69"/>
        <item x="62"/>
        <item x="44"/>
        <item x="47"/>
        <item x="48"/>
        <item x="70"/>
        <item x="35"/>
        <item x="76"/>
        <item x="66"/>
        <item x="49"/>
        <item x="22"/>
        <item x="20"/>
        <item x="12"/>
        <item x="80"/>
        <item x="56"/>
        <item x="61"/>
        <item x="5"/>
        <item x="39"/>
        <item x="16"/>
        <item x="28"/>
        <item x="59"/>
        <item x="19"/>
        <item x="36"/>
        <item x="67"/>
        <item x="31"/>
        <item x="33"/>
        <item x="65"/>
        <item x="50"/>
        <item x="72"/>
        <item x="57"/>
        <item x="63"/>
        <item x="73"/>
        <item x="8"/>
        <item x="6"/>
        <item x="51"/>
        <item x="7"/>
        <item x="13"/>
        <item x="64"/>
        <item x="53"/>
        <item x="26"/>
        <item x="29"/>
        <item x="27"/>
        <item x="46"/>
        <item x="37"/>
        <item x="60"/>
        <item x="18"/>
        <item x="68"/>
        <item x="11"/>
        <item x="24"/>
        <item x="45"/>
        <item x="54"/>
        <item x="41"/>
        <item x="42"/>
        <item x="25"/>
        <item x="75"/>
        <item x="30"/>
        <item x="71"/>
        <item x="2"/>
        <item x="77"/>
        <item x="79"/>
        <item x="40"/>
        <item x="10"/>
        <item x="52"/>
        <item x="14"/>
        <item x="4"/>
        <item x="34"/>
        <item x="3"/>
        <item x="23"/>
        <item x="43"/>
        <item x="1"/>
        <item x="55"/>
        <item x="38"/>
        <item x="74"/>
        <item x="0"/>
        <item x="32"/>
        <item x="58"/>
        <item x="78"/>
        <item x="21"/>
        <item x="17"/>
        <item x="15"/>
        <item t="default"/>
      </items>
    </pivotField>
    <pivotField dataField="1" numFmtId="10" showAll="0"/>
    <pivotField numFmtId="10" showAll="0"/>
    <pivotField numFmtId="10" showAll="0"/>
    <pivotField numFmtId="2" showAll="0"/>
    <pivotField dataField="1" numFmtId="10" showAll="0"/>
    <pivotField numFmtId="10" showAll="0"/>
    <pivotField numFmtId="10" showAll="0"/>
    <pivotField numFmtId="2" showAll="0"/>
    <pivotField showAll="0"/>
    <pivotField showAll="0"/>
    <pivotField showAll="0"/>
    <pivotField showAll="0"/>
    <pivotField dataField="1" showAll="0"/>
    <pivotField numFmtId="10" showAll="0"/>
    <pivotField numFmtId="10" showAll="0"/>
    <pivotField numFmtId="2" showAll="0"/>
    <pivotField dataField="1" showAll="0"/>
    <pivotField showAll="0"/>
    <pivotField showAll="0"/>
    <pivotField showAll="0"/>
    <pivotField dataField="1" showAll="0"/>
    <pivotField numFmtId="10" showAll="0"/>
    <pivotField numFmtId="10" showAll="0"/>
    <pivotField showAll="0"/>
    <pivotField dataField="1" numFmtId="2" showAll="0"/>
    <pivotField numFmtId="9" showAll="0"/>
    <pivotField showAll="0"/>
  </pivotFields>
  <rowFields count="1">
    <field x="2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ount of Company" fld="0" subtotal="count" baseField="0" baseItem="0"/>
    <dataField name="Average of ROE" fld="23" subtotal="average" baseField="2" baseItem="5"/>
    <dataField name="Average of ROA" fld="15" subtotal="average" baseField="2" baseItem="5"/>
    <dataField name="Average of Revenue Growth" fld="7" subtotal="average" baseField="2" baseItem="5" numFmtId="10"/>
    <dataField name="Average of Profit Margin" fld="3" subtotal="average" baseField="2" baseItem="5" numFmtId="10"/>
    <dataField name="Average of Financial Health Score" fld="27" subtotal="average" baseField="2" baseItem="5" numFmtId="2"/>
    <dataField name="Average of Debt-to-Equity" fld="19" subtotal="average" baseField="2" baseItem="5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">
      <pivotArea dataOnly="0" labelOnly="1" fieldPosition="0">
        <references count="1">
          <reference field="2" count="3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</reference>
        </references>
      </pivotArea>
    </format>
    <format dxfId="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">
      <pivotArea field="2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54CB37-C9F4-4828-B512-4FAAB3E0D2B3}" name="FinancialData" displayName="FinancialData" ref="A1:AN227" totalsRowShown="0" headerRowDxfId="50">
  <autoFilter ref="A1:AN227" xr:uid="{00000000-0001-0000-0000-000000000000}"/>
  <tableColumns count="40">
    <tableColumn id="1" xr3:uid="{0F2E77A2-D5A3-467D-A23F-9D5A068AB774}" name="Sr.NO" dataDxfId="51"/>
    <tableColumn id="2" xr3:uid="{4378594F-C8DF-40AF-879B-4F243264BDBA}" name="shortName"/>
    <tableColumn id="3" xr3:uid="{A719410D-2CA7-4325-A951-E693E3C95366}" name="industry"/>
    <tableColumn id="4" xr3:uid="{FEE19B40-B02A-4CE2-8FB6-41D71157053B}" name="ebitdaMargins"/>
    <tableColumn id="5" xr3:uid="{62CC156F-33C0-4372-9D77-0AD273957E9A}" name="profitMargins"/>
    <tableColumn id="6" xr3:uid="{70D655A2-E925-4637-B078-962306CEAD1B}" name="grossMargins"/>
    <tableColumn id="7" xr3:uid="{BFCD4320-FE4C-4AA1-9A5B-8AAFF4D5E19F}" name="operatingCashflow"/>
    <tableColumn id="8" xr3:uid="{B8A9FB2E-2824-4292-B726-29ECD7015663}" name="revenueGrowth"/>
    <tableColumn id="9" xr3:uid="{DAE74698-5B9C-42C9-A469-C1369636C671}" name="operatingMargins"/>
    <tableColumn id="10" xr3:uid="{6504B3E3-C868-4813-853E-8D658E3D3784}" name="ebitda"/>
    <tableColumn id="11" xr3:uid="{6E155536-442D-4002-AEA4-282DC81B40D3}" name="grossProfits"/>
    <tableColumn id="12" xr3:uid="{C07BE104-AB26-4262-99E6-0C11D27CA990}" name="freeCashflow"/>
    <tableColumn id="13" xr3:uid="{673C9411-E362-4337-83AE-6A44C2D9395C}" name="currentPrice"/>
    <tableColumn id="14" xr3:uid="{7004C3C1-3DC3-4E24-AD37-03BA49014126}" name="earningsGrowth"/>
    <tableColumn id="15" xr3:uid="{CB652AD1-90C9-44B6-9213-DA11BA5FC8FC}" name="currentRatio"/>
    <tableColumn id="16" xr3:uid="{2C2AD4F1-5560-4F2D-9C3F-1A262B3AC69C}" name="returnOnAssets"/>
    <tableColumn id="17" xr3:uid="{2F24E759-79F0-4218-8BBE-9D3453C26DE5}" name="debtToEquity"/>
    <tableColumn id="18" xr3:uid="{50C0C2B7-F29C-4E62-81D1-F7DEA5918BCA}" name="returnOnEquity"/>
    <tableColumn id="19" xr3:uid="{69FAE1EC-F9FF-45B3-AD8C-85CED84DB9E1}" name="totalCash"/>
    <tableColumn id="20" xr3:uid="{BA3915DB-D3A3-4D85-8690-D1DCB25FD18D}" name="totalDebt"/>
    <tableColumn id="21" xr3:uid="{B90DCE90-0E87-417B-B92C-01A9C3794DCC}" name="totalRevenue"/>
    <tableColumn id="22" xr3:uid="{F67C1154-03BC-44FC-83AE-A7F93BA01A8D}" name="totalCashPerShare"/>
    <tableColumn id="23" xr3:uid="{CF22A797-F972-40FE-832D-90F3CE02CF9F}" name="financialCurrency"/>
    <tableColumn id="24" xr3:uid="{0BACE00F-C056-4252-9580-047EC70BFC30}" name="revenuePerShare"/>
    <tableColumn id="25" xr3:uid="{1BD5FEB8-0941-4132-A291-A36D706C22F7}" name="quickRatio"/>
    <tableColumn id="26" xr3:uid="{582434E5-4AC8-4C41-84F2-84C61A08B9F2}" name="quoteType"/>
    <tableColumn id="27" xr3:uid="{04D9A44F-5978-4F3E-9972-14356DA3C6DD}" name="symbol"/>
    <tableColumn id="28" xr3:uid="{833342F6-C132-4C62-9D49-D3CA9C26B6C7}" name="enterpriseToRevenue"/>
    <tableColumn id="29" xr3:uid="{E7E9E48E-B512-4188-97DE-A79E0E772B30}" name="enterpriseToEbitda"/>
    <tableColumn id="30" xr3:uid="{23D12A46-CAF6-4A5C-AAF2-A38280E035AF}" name="forwardEps"/>
    <tableColumn id="31" xr3:uid="{91ABBAA2-5A4D-4F3C-A84F-808728135BA0}" name="sharesOutstanding"/>
    <tableColumn id="32" xr3:uid="{4B2458C8-DFED-4C23-8CDD-7A06DFED0348}" name="bookValue"/>
    <tableColumn id="33" xr3:uid="{697DA97E-9567-4EA5-9ADE-BC0B24680C56}" name="trailingEps"/>
    <tableColumn id="34" xr3:uid="{1806516F-42E4-4206-8289-D4582E4F9F90}" name="priceToBook"/>
    <tableColumn id="35" xr3:uid="{AFDE4B25-155D-48DB-8564-5BCE18CF4568}" name="heldPercentInsiders"/>
    <tableColumn id="36" xr3:uid="{BAEBD9AE-8D2D-4E03-872C-7E7E96209A0A}" name="enterpriseValue"/>
    <tableColumn id="37" xr3:uid="{296284A8-3866-4D7C-9F2B-9F1C2F27CE2A}" name="earningsQuarterlyGrowth"/>
    <tableColumn id="38" xr3:uid="{83B6031B-8693-442F-8A25-3C45060CBDBC}" name="pegRatio"/>
    <tableColumn id="39" xr3:uid="{F9261EC0-87B8-411E-828E-94690D9A5E08}" name="forwardPE"/>
    <tableColumn id="40" xr3:uid="{A0A93C3D-CCFA-4A05-92E2-DEC9F64F1C7D}" name="marketCap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FCBC78-B694-48F5-9AC5-FAE7F201ED26}" name="FinancialData3" displayName="FinancialData3" ref="A1:Q227" totalsRowShown="0" headerRowDxfId="17" dataDxfId="16">
  <autoFilter ref="A1:Q227" xr:uid="{32FCBC78-B694-48F5-9AC5-FAE7F201ED26}"/>
  <tableColumns count="17">
    <tableColumn id="1" xr3:uid="{8663C6BF-BA02-468C-AA43-D32F205FB5D7}" name="Sr.NO" dataDxfId="32"/>
    <tableColumn id="2" xr3:uid="{18D3E049-7D9D-4E05-874E-4896D358A9E6}" name="Company" dataDxfId="15"/>
    <tableColumn id="3" xr3:uid="{4F5B53FD-67FB-4971-9D14-055849B79626}" name="Industry" dataDxfId="14"/>
    <tableColumn id="5" xr3:uid="{130F5D6A-AE0F-4DBA-B32A-7864D361ADC5}" name="Profit Margin" dataDxfId="31" dataCellStyle="Percent"/>
    <tableColumn id="8" xr3:uid="{4DA4361E-4CA3-4694-8994-F92069A9A5FD}" name="Revenue Growth" dataDxfId="30" dataCellStyle="Percent"/>
    <tableColumn id="13" xr3:uid="{8ADB76AB-55B4-4427-B4E8-A722E9181CAD}" name="Current Price" dataDxfId="29"/>
    <tableColumn id="15" xr3:uid="{7426F4A8-4FC0-48E4-8139-5D0FCA845A98}" name="Current Ratio" dataDxfId="28"/>
    <tableColumn id="16" xr3:uid="{DDCD015E-6568-4EE6-85A2-16271B7E6B6D}" name="ROA" dataDxfId="27" dataCellStyle="Percent"/>
    <tableColumn id="17" xr3:uid="{E1307F33-3B83-4C8A-AFC1-8B264522CFB5}" name="Debt-to-Equity" dataDxfId="26"/>
    <tableColumn id="18" xr3:uid="{71A50D0A-04F2-44D7-9DFF-485ECC9D31A7}" name="ROE" dataDxfId="25" dataCellStyle="Percent"/>
    <tableColumn id="27" xr3:uid="{23318BC2-0A03-4D5A-8250-A3F5A5D577AA}" name="Stock ticker" dataDxfId="24"/>
    <tableColumn id="28" xr3:uid="{5AC2D78A-8847-4B63-9729-7AF808DE662E}" name="EV/Revenue" dataDxfId="23"/>
    <tableColumn id="29" xr3:uid="{BE2FB849-67D5-45B3-8F76-20E6E12C062D}" name="EV/EBITDA" dataDxfId="22"/>
    <tableColumn id="34" xr3:uid="{270DC732-55AC-4EED-80DF-F5252F5B39D5}" name="Price-to-Book" dataDxfId="21"/>
    <tableColumn id="38" xr3:uid="{13B4A522-AA73-4EF8-BBEE-10D09425B036}" name="PEG Ratio" dataDxfId="20"/>
    <tableColumn id="39" xr3:uid="{4FABF8A6-44ED-4360-9ED6-093130CFEA18}" name="Forward P/E" dataDxfId="19"/>
    <tableColumn id="40" xr3:uid="{5D5E5D7C-3851-4513-ACD2-FBE31D131F4B}" name="Market Cap" dataDxfId="1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7"/>
  <sheetViews>
    <sheetView zoomScale="63" workbookViewId="0">
      <selection activeCell="E213" sqref="E213"/>
    </sheetView>
  </sheetViews>
  <sheetFormatPr defaultRowHeight="14.4" x14ac:dyDescent="0.3"/>
  <cols>
    <col min="2" max="2" width="32.33203125" bestFit="1" customWidth="1"/>
    <col min="3" max="3" width="38.5546875" bestFit="1" customWidth="1"/>
    <col min="4" max="9" width="27.33203125" customWidth="1"/>
    <col min="10" max="10" width="12" bestFit="1" customWidth="1"/>
    <col min="11" max="11" width="22.44140625" customWidth="1"/>
    <col min="12" max="12" width="14" customWidth="1"/>
    <col min="13" max="13" width="22.109375" customWidth="1"/>
    <col min="14" max="14" width="18.109375" customWidth="1"/>
    <col min="15" max="15" width="16.5546875" customWidth="1"/>
    <col min="16" max="16" width="20.6640625" customWidth="1"/>
    <col min="17" max="17" width="19" customWidth="1"/>
    <col min="18" max="18" width="19.5546875" customWidth="1"/>
    <col min="19" max="19" width="13.88671875" bestFit="1" customWidth="1"/>
    <col min="20" max="20" width="14" bestFit="1" customWidth="1"/>
    <col min="21" max="21" width="17.6640625" bestFit="1" customWidth="1"/>
    <col min="22" max="22" width="22.109375" bestFit="1" customWidth="1"/>
    <col min="23" max="23" width="20.5546875" customWidth="1"/>
    <col min="24" max="24" width="17.33203125" customWidth="1"/>
    <col min="25" max="25" width="14" customWidth="1"/>
    <col min="26" max="26" width="15.109375" bestFit="1" customWidth="1"/>
    <col min="27" max="27" width="9" customWidth="1"/>
    <col min="28" max="28" width="25.109375" bestFit="1" customWidth="1"/>
    <col min="29" max="29" width="22.88671875" bestFit="1" customWidth="1"/>
    <col min="30" max="30" width="15.5546875" bestFit="1" customWidth="1"/>
    <col min="31" max="31" width="22.44140625" bestFit="1" customWidth="1"/>
    <col min="32" max="32" width="15.109375" bestFit="1" customWidth="1"/>
    <col min="33" max="33" width="14.88671875" bestFit="1" customWidth="1"/>
    <col min="34" max="34" width="16.5546875" bestFit="1" customWidth="1"/>
    <col min="35" max="35" width="23.6640625" bestFit="1" customWidth="1"/>
    <col min="36" max="36" width="20.109375" bestFit="1" customWidth="1"/>
    <col min="37" max="37" width="28.6640625" bestFit="1" customWidth="1"/>
    <col min="38" max="38" width="13.44140625" bestFit="1" customWidth="1"/>
    <col min="39" max="39" width="14.6640625" bestFit="1" customWidth="1"/>
    <col min="40" max="40" width="15.109375" bestFit="1" customWidth="1"/>
  </cols>
  <sheetData>
    <row r="1" spans="1:40" x14ac:dyDescent="0.3">
      <c r="A1" s="2" t="s">
        <v>573</v>
      </c>
      <c r="B1" s="1" t="s">
        <v>23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3">
      <c r="A2" s="1">
        <v>0</v>
      </c>
      <c r="B2" t="s">
        <v>41</v>
      </c>
      <c r="C2" t="s">
        <v>39</v>
      </c>
      <c r="D2">
        <v>0.33890998</v>
      </c>
      <c r="E2">
        <v>0.26579002000000002</v>
      </c>
      <c r="F2">
        <v>0.43019000000000002</v>
      </c>
      <c r="G2">
        <v>112241000448</v>
      </c>
      <c r="H2">
        <v>0.112</v>
      </c>
      <c r="I2">
        <v>0.309</v>
      </c>
      <c r="J2">
        <v>128217997312</v>
      </c>
      <c r="K2">
        <v>152836000000</v>
      </c>
      <c r="L2">
        <v>80153247744</v>
      </c>
      <c r="M2">
        <v>174.72</v>
      </c>
      <c r="N2">
        <v>0.25</v>
      </c>
      <c r="O2">
        <v>1.038</v>
      </c>
      <c r="P2">
        <v>0.19875000000000001</v>
      </c>
      <c r="Q2">
        <v>170.714</v>
      </c>
      <c r="R2">
        <v>1.45567</v>
      </c>
      <c r="S2">
        <v>63913000960</v>
      </c>
      <c r="T2">
        <v>122797998080</v>
      </c>
      <c r="U2">
        <v>378323009536</v>
      </c>
      <c r="V2">
        <v>3.9159999999999999</v>
      </c>
      <c r="W2" t="s">
        <v>40</v>
      </c>
      <c r="X2">
        <v>22.838000000000001</v>
      </c>
      <c r="Y2">
        <v>0.875</v>
      </c>
      <c r="Z2" t="s">
        <v>42</v>
      </c>
      <c r="AA2" t="s">
        <v>43</v>
      </c>
      <c r="AB2">
        <v>7.6920000000000002</v>
      </c>
      <c r="AC2">
        <v>22.696999999999999</v>
      </c>
      <c r="AD2">
        <v>6.56</v>
      </c>
      <c r="AE2">
        <v>16319399936</v>
      </c>
      <c r="AF2">
        <v>4.4020000000000001</v>
      </c>
      <c r="AG2">
        <v>6.0149999999999997</v>
      </c>
      <c r="AH2">
        <v>39.691049999999997</v>
      </c>
      <c r="AI2">
        <v>6.9999999999999999E-4</v>
      </c>
      <c r="AJ2">
        <v>2910217830400</v>
      </c>
      <c r="AK2">
        <v>0.20399999999999999</v>
      </c>
      <c r="AL2">
        <v>1.9</v>
      </c>
      <c r="AM2">
        <v>26.634148</v>
      </c>
      <c r="AN2">
        <v>2851325607936</v>
      </c>
    </row>
    <row r="3" spans="1:40" x14ac:dyDescent="0.3">
      <c r="A3" s="1">
        <v>1</v>
      </c>
      <c r="B3" t="s">
        <v>45</v>
      </c>
      <c r="C3" t="s">
        <v>44</v>
      </c>
      <c r="D3">
        <v>0.49123</v>
      </c>
      <c r="E3">
        <v>0.38498001999999998</v>
      </c>
      <c r="F3">
        <v>0.68825996</v>
      </c>
      <c r="G3">
        <v>83909001216</v>
      </c>
      <c r="H3">
        <v>0.20100000000000001</v>
      </c>
      <c r="I3">
        <v>0.42523998000000002</v>
      </c>
      <c r="J3">
        <v>90829996032</v>
      </c>
      <c r="K3">
        <v>115856000000</v>
      </c>
      <c r="L3">
        <v>46479876096</v>
      </c>
      <c r="M3">
        <v>303.68</v>
      </c>
      <c r="N3">
        <v>0.222</v>
      </c>
      <c r="O3">
        <v>2.2469999999999999</v>
      </c>
      <c r="P3">
        <v>0.15248998999999999</v>
      </c>
      <c r="Q3">
        <v>50.216999999999999</v>
      </c>
      <c r="R3">
        <v>0.49051</v>
      </c>
      <c r="S3">
        <v>125348003840</v>
      </c>
      <c r="T3">
        <v>80353001472</v>
      </c>
      <c r="U3">
        <v>184902991872</v>
      </c>
      <c r="V3">
        <v>16.72</v>
      </c>
      <c r="W3" t="s">
        <v>40</v>
      </c>
      <c r="X3">
        <v>24.585000000000001</v>
      </c>
      <c r="Y3">
        <v>2.0499999999999998</v>
      </c>
      <c r="Z3" t="s">
        <v>42</v>
      </c>
      <c r="AA3" t="s">
        <v>46</v>
      </c>
      <c r="AB3">
        <v>12.069000000000001</v>
      </c>
      <c r="AC3">
        <v>24.57</v>
      </c>
      <c r="AD3">
        <v>10.75</v>
      </c>
      <c r="AE3">
        <v>7496869888</v>
      </c>
      <c r="AF3">
        <v>21.335000000000001</v>
      </c>
      <c r="AG3">
        <v>9.3889999999999993</v>
      </c>
      <c r="AH3">
        <v>14.233889</v>
      </c>
      <c r="AI3">
        <v>5.9000000000000003E-4</v>
      </c>
      <c r="AJ3">
        <v>2231653367808</v>
      </c>
      <c r="AK3">
        <v>0.214</v>
      </c>
      <c r="AL3">
        <v>1.87</v>
      </c>
      <c r="AM3">
        <v>28.249302</v>
      </c>
      <c r="AN3">
        <v>2276649336832</v>
      </c>
    </row>
    <row r="4" spans="1:40" x14ac:dyDescent="0.3">
      <c r="A4" s="1">
        <v>2</v>
      </c>
      <c r="B4" t="s">
        <v>48</v>
      </c>
      <c r="C4" t="s">
        <v>47</v>
      </c>
      <c r="D4">
        <v>0.35376999999999997</v>
      </c>
      <c r="E4">
        <v>0.29511999999999999</v>
      </c>
      <c r="F4">
        <v>0.56940000000000002</v>
      </c>
      <c r="G4">
        <v>91651997696</v>
      </c>
      <c r="H4">
        <v>0.32400000000000001</v>
      </c>
      <c r="I4">
        <v>0.30552000000000001</v>
      </c>
      <c r="J4">
        <v>91144003584</v>
      </c>
      <c r="K4">
        <v>146698000000</v>
      </c>
      <c r="L4">
        <v>49490001920</v>
      </c>
      <c r="M4">
        <v>2830.43</v>
      </c>
      <c r="N4">
        <v>0.377</v>
      </c>
      <c r="O4">
        <v>2.9279999999999999</v>
      </c>
      <c r="P4">
        <v>0.14493</v>
      </c>
      <c r="Q4">
        <v>11.329000000000001</v>
      </c>
      <c r="R4">
        <v>0.32068999999999998</v>
      </c>
      <c r="S4">
        <v>139649007616</v>
      </c>
      <c r="T4">
        <v>28508000256</v>
      </c>
      <c r="U4">
        <v>257637007360</v>
      </c>
      <c r="V4">
        <v>211.27799999999999</v>
      </c>
      <c r="W4" t="s">
        <v>40</v>
      </c>
      <c r="X4">
        <v>385.88600000000002</v>
      </c>
      <c r="Y4">
        <v>2.8</v>
      </c>
      <c r="Z4" t="s">
        <v>42</v>
      </c>
      <c r="AA4" t="s">
        <v>49</v>
      </c>
      <c r="AB4">
        <v>6.83</v>
      </c>
      <c r="AC4">
        <v>19.306999999999999</v>
      </c>
      <c r="AD4">
        <v>136.06</v>
      </c>
      <c r="AE4">
        <v>315639008</v>
      </c>
      <c r="AF4">
        <v>380.04399999999998</v>
      </c>
      <c r="AG4">
        <v>112.197</v>
      </c>
      <c r="AH4">
        <v>7.4476376000000002</v>
      </c>
      <c r="AI4">
        <v>3.4000003000000001E-4</v>
      </c>
      <c r="AJ4">
        <v>1759692062720</v>
      </c>
      <c r="AK4">
        <v>0.35599999999999998</v>
      </c>
      <c r="AL4">
        <v>1.22</v>
      </c>
      <c r="AM4">
        <v>20.802807000000001</v>
      </c>
      <c r="AN4">
        <v>1872632217600</v>
      </c>
    </row>
    <row r="5" spans="1:40" x14ac:dyDescent="0.3">
      <c r="A5" s="1">
        <v>3</v>
      </c>
      <c r="B5" t="s">
        <v>48</v>
      </c>
      <c r="C5" t="s">
        <v>47</v>
      </c>
      <c r="D5">
        <v>0.35376999999999997</v>
      </c>
      <c r="E5">
        <v>0.29511999999999999</v>
      </c>
      <c r="F5">
        <v>0.56940000000000002</v>
      </c>
      <c r="G5">
        <v>91651997696</v>
      </c>
      <c r="H5">
        <v>0.32400000000000001</v>
      </c>
      <c r="I5">
        <v>0.30552000000000001</v>
      </c>
      <c r="J5">
        <v>91144003584</v>
      </c>
      <c r="K5">
        <v>146698000000</v>
      </c>
      <c r="L5">
        <v>49490001920</v>
      </c>
      <c r="M5">
        <v>2833.46</v>
      </c>
      <c r="N5">
        <v>0.377</v>
      </c>
      <c r="O5">
        <v>2.9279999999999999</v>
      </c>
      <c r="P5">
        <v>0.14493</v>
      </c>
      <c r="Q5">
        <v>11.329000000000001</v>
      </c>
      <c r="R5">
        <v>0.32068999999999998</v>
      </c>
      <c r="S5">
        <v>139649007616</v>
      </c>
      <c r="T5">
        <v>28508000256</v>
      </c>
      <c r="U5">
        <v>257637007360</v>
      </c>
      <c r="V5">
        <v>211.27799999999999</v>
      </c>
      <c r="W5" t="s">
        <v>40</v>
      </c>
      <c r="X5">
        <v>385.88600000000002</v>
      </c>
      <c r="Y5">
        <v>2.8</v>
      </c>
      <c r="Z5" t="s">
        <v>42</v>
      </c>
      <c r="AA5" t="s">
        <v>50</v>
      </c>
      <c r="AB5">
        <v>6.8380000000000001</v>
      </c>
      <c r="AC5">
        <v>19.329000000000001</v>
      </c>
      <c r="AD5">
        <v>135.94999999999999</v>
      </c>
      <c r="AE5">
        <v>300755008</v>
      </c>
      <c r="AF5">
        <v>380.04399999999998</v>
      </c>
      <c r="AG5">
        <v>112.197</v>
      </c>
      <c r="AH5">
        <v>7.4556103</v>
      </c>
      <c r="AI5">
        <v>7.7020004000000003E-2</v>
      </c>
      <c r="AJ5">
        <v>1761694842880</v>
      </c>
      <c r="AK5">
        <v>0.35599999999999998</v>
      </c>
      <c r="AL5">
        <v>1.22</v>
      </c>
      <c r="AM5">
        <v>20.841926999999998</v>
      </c>
      <c r="AN5">
        <v>1871194226688</v>
      </c>
    </row>
    <row r="6" spans="1:40" x14ac:dyDescent="0.3">
      <c r="A6" s="1">
        <v>4</v>
      </c>
      <c r="B6" t="s">
        <v>52</v>
      </c>
      <c r="C6" t="s">
        <v>51</v>
      </c>
      <c r="D6">
        <v>0.12595001</v>
      </c>
      <c r="E6">
        <v>7.1010000000000004E-2</v>
      </c>
      <c r="F6">
        <v>0.42032000000000003</v>
      </c>
      <c r="G6">
        <v>46327001088</v>
      </c>
      <c r="H6">
        <v>9.4E-2</v>
      </c>
      <c r="I6">
        <v>5.2950002000000003E-2</v>
      </c>
      <c r="J6">
        <v>59174998016</v>
      </c>
      <c r="K6">
        <v>197478000000</v>
      </c>
      <c r="L6">
        <v>-787249984</v>
      </c>
      <c r="M6">
        <v>3295.47</v>
      </c>
      <c r="N6">
        <v>0.97499999999999998</v>
      </c>
      <c r="O6">
        <v>1.1359999999999999</v>
      </c>
      <c r="P6">
        <v>4.1929998000000003E-2</v>
      </c>
      <c r="Q6">
        <v>100.864</v>
      </c>
      <c r="R6">
        <v>0.28805999999999998</v>
      </c>
      <c r="S6">
        <v>96048996352</v>
      </c>
      <c r="T6">
        <v>139438997504</v>
      </c>
      <c r="U6">
        <v>469822013440</v>
      </c>
      <c r="V6">
        <v>188.75899999999999</v>
      </c>
      <c r="W6" t="s">
        <v>40</v>
      </c>
      <c r="X6">
        <v>928.50199999999995</v>
      </c>
      <c r="Y6">
        <v>0.90500000000000003</v>
      </c>
      <c r="Z6" t="s">
        <v>42</v>
      </c>
      <c r="AA6" t="s">
        <v>53</v>
      </c>
      <c r="AB6">
        <v>3.6619999999999999</v>
      </c>
      <c r="AC6">
        <v>29.071000000000002</v>
      </c>
      <c r="AD6">
        <v>72.849999999999994</v>
      </c>
      <c r="AE6">
        <v>508844000</v>
      </c>
      <c r="AF6">
        <v>271.601</v>
      </c>
      <c r="AG6">
        <v>64.81</v>
      </c>
      <c r="AH6">
        <v>12.133495999999999</v>
      </c>
      <c r="AI6">
        <v>9.8839999999999997E-2</v>
      </c>
      <c r="AJ6">
        <v>1720271503360</v>
      </c>
      <c r="AK6">
        <v>0.98299999999999998</v>
      </c>
      <c r="AL6">
        <v>1.93</v>
      </c>
      <c r="AM6">
        <v>45.236378000000002</v>
      </c>
      <c r="AN6">
        <v>1676880117760</v>
      </c>
    </row>
    <row r="7" spans="1:40" x14ac:dyDescent="0.3">
      <c r="A7" s="1">
        <v>5</v>
      </c>
      <c r="B7" t="s">
        <v>55</v>
      </c>
      <c r="C7" t="s">
        <v>54</v>
      </c>
      <c r="D7">
        <v>0.15512000000000001</v>
      </c>
      <c r="E7">
        <v>7.4029999999999999E-2</v>
      </c>
      <c r="F7">
        <v>0.23107</v>
      </c>
      <c r="G7">
        <v>9930999808</v>
      </c>
      <c r="H7">
        <v>0.56799999999999995</v>
      </c>
      <c r="I7">
        <v>9.7890000000000005E-2</v>
      </c>
      <c r="J7">
        <v>7266999808</v>
      </c>
      <c r="K7">
        <v>6630000000</v>
      </c>
      <c r="L7">
        <v>4644624896</v>
      </c>
      <c r="M7">
        <v>1010.64</v>
      </c>
      <c r="N7">
        <v>4.3330000000000002</v>
      </c>
      <c r="O7">
        <v>1.385</v>
      </c>
      <c r="P7">
        <v>5.5370003000000001E-2</v>
      </c>
      <c r="Q7">
        <v>35.65</v>
      </c>
      <c r="R7">
        <v>0.15640999999999999</v>
      </c>
      <c r="S7">
        <v>16094999552</v>
      </c>
      <c r="T7">
        <v>10158000128</v>
      </c>
      <c r="U7">
        <v>46848000000</v>
      </c>
      <c r="V7">
        <v>16.027000000000001</v>
      </c>
      <c r="W7" t="s">
        <v>40</v>
      </c>
      <c r="X7">
        <v>48.271999999999998</v>
      </c>
      <c r="Y7">
        <v>1.002</v>
      </c>
      <c r="Z7" t="s">
        <v>42</v>
      </c>
      <c r="AA7" t="s">
        <v>56</v>
      </c>
      <c r="AB7">
        <v>24.547000000000001</v>
      </c>
      <c r="AC7">
        <v>158.249</v>
      </c>
      <c r="AD7">
        <v>8.76</v>
      </c>
      <c r="AE7">
        <v>1004259968</v>
      </c>
      <c r="AF7">
        <v>26.945</v>
      </c>
      <c r="AG7">
        <v>3.0619999999999998</v>
      </c>
      <c r="AH7">
        <v>37.507514999999998</v>
      </c>
      <c r="AI7">
        <v>0.19958999999999999</v>
      </c>
      <c r="AJ7">
        <v>1149996892160</v>
      </c>
      <c r="AK7">
        <v>3.8879999999999999</v>
      </c>
      <c r="AL7">
        <v>2.52</v>
      </c>
      <c r="AM7">
        <v>115.369865</v>
      </c>
      <c r="AN7">
        <v>1014945284096</v>
      </c>
    </row>
    <row r="8" spans="1:40" x14ac:dyDescent="0.3">
      <c r="A8" s="1">
        <v>7</v>
      </c>
      <c r="B8" t="s">
        <v>58</v>
      </c>
      <c r="C8" t="s">
        <v>57</v>
      </c>
      <c r="D8">
        <v>0.40203</v>
      </c>
      <c r="E8">
        <v>0.33806000000000003</v>
      </c>
      <c r="F8">
        <v>0.64398</v>
      </c>
      <c r="G8">
        <v>8142000128</v>
      </c>
      <c r="H8">
        <v>0.503</v>
      </c>
      <c r="I8">
        <v>0.35454000000000002</v>
      </c>
      <c r="J8">
        <v>9758999552</v>
      </c>
      <c r="K8">
        <v>10557000000</v>
      </c>
      <c r="L8">
        <v>5935249920</v>
      </c>
      <c r="M8">
        <v>276.92</v>
      </c>
      <c r="N8">
        <v>0.83</v>
      </c>
      <c r="O8">
        <v>7.1449999999999996</v>
      </c>
      <c r="P8">
        <v>0.15934000000000001</v>
      </c>
      <c r="Q8">
        <v>49.697000000000003</v>
      </c>
      <c r="R8">
        <v>0.41939998000000001</v>
      </c>
      <c r="S8">
        <v>19298000896</v>
      </c>
      <c r="T8">
        <v>11827000320</v>
      </c>
      <c r="U8">
        <v>24273999872</v>
      </c>
      <c r="V8">
        <v>7.7190000000000003</v>
      </c>
      <c r="W8" t="s">
        <v>40</v>
      </c>
      <c r="X8">
        <v>9.75</v>
      </c>
      <c r="Y8">
        <v>6.4370000000000003</v>
      </c>
      <c r="Z8" t="s">
        <v>42</v>
      </c>
      <c r="AA8" t="s">
        <v>59</v>
      </c>
      <c r="AB8">
        <v>29.858000000000001</v>
      </c>
      <c r="AC8">
        <v>74.268000000000001</v>
      </c>
      <c r="AD8">
        <v>5.21</v>
      </c>
      <c r="AE8">
        <v>2492000000</v>
      </c>
      <c r="AF8">
        <v>9.5120000000000005</v>
      </c>
      <c r="AG8">
        <v>3.2429999999999999</v>
      </c>
      <c r="AH8">
        <v>29.112701000000001</v>
      </c>
      <c r="AI8">
        <v>4.079E-2</v>
      </c>
      <c r="AJ8">
        <v>724779008000</v>
      </c>
      <c r="AK8">
        <v>0.84399999999999997</v>
      </c>
      <c r="AL8">
        <v>1.71</v>
      </c>
      <c r="AM8">
        <v>53.151634000000001</v>
      </c>
      <c r="AN8">
        <v>690084642816</v>
      </c>
    </row>
    <row r="9" spans="1:40" x14ac:dyDescent="0.3">
      <c r="A9" s="1">
        <v>8</v>
      </c>
      <c r="B9" t="s">
        <v>60</v>
      </c>
      <c r="C9" t="s">
        <v>47</v>
      </c>
      <c r="D9">
        <v>0.46400999999999998</v>
      </c>
      <c r="E9">
        <v>0.33383997999999998</v>
      </c>
      <c r="F9">
        <v>0.80793999999999999</v>
      </c>
      <c r="G9">
        <v>57683001344</v>
      </c>
      <c r="H9">
        <v>0.19900000000000001</v>
      </c>
      <c r="I9">
        <v>0.39645000000000002</v>
      </c>
      <c r="J9">
        <v>54720000000</v>
      </c>
      <c r="K9">
        <v>95280000000</v>
      </c>
      <c r="L9">
        <v>28807624704</v>
      </c>
      <c r="M9">
        <v>221.82</v>
      </c>
      <c r="N9">
        <v>-5.1999999999999998E-2</v>
      </c>
      <c r="O9">
        <v>3.1539999999999999</v>
      </c>
      <c r="P9">
        <v>0.17965001</v>
      </c>
      <c r="Q9">
        <v>11.574</v>
      </c>
      <c r="R9">
        <v>0.31102000000000002</v>
      </c>
      <c r="S9">
        <v>47998001152</v>
      </c>
      <c r="T9">
        <v>14453999616</v>
      </c>
      <c r="U9">
        <v>117929000960</v>
      </c>
      <c r="V9">
        <v>17.634</v>
      </c>
      <c r="W9" t="s">
        <v>40</v>
      </c>
      <c r="X9">
        <v>41.893000000000001</v>
      </c>
      <c r="Y9">
        <v>2.9350000000000001</v>
      </c>
      <c r="Z9" t="s">
        <v>42</v>
      </c>
      <c r="AA9" t="s">
        <v>61</v>
      </c>
      <c r="AB9">
        <v>4.5860000000000003</v>
      </c>
      <c r="AC9">
        <v>9.8840000000000003</v>
      </c>
      <c r="AD9">
        <v>14.23</v>
      </c>
      <c r="AE9">
        <v>2366279936</v>
      </c>
      <c r="AF9">
        <v>47.747999999999998</v>
      </c>
      <c r="AG9">
        <v>13.974</v>
      </c>
      <c r="AH9">
        <v>4.6456394000000003</v>
      </c>
      <c r="AI9">
        <v>5.3100003999999998E-3</v>
      </c>
      <c r="AJ9">
        <v>540867395584</v>
      </c>
      <c r="AK9">
        <v>-8.3000000000000004E-2</v>
      </c>
      <c r="AL9">
        <v>1.1299999999999999</v>
      </c>
      <c r="AM9">
        <v>15.588195000000001</v>
      </c>
      <c r="AN9">
        <v>617050013696</v>
      </c>
    </row>
    <row r="10" spans="1:40" x14ac:dyDescent="0.3">
      <c r="A10" s="1">
        <v>9</v>
      </c>
      <c r="B10" t="s">
        <v>63</v>
      </c>
      <c r="C10" t="s">
        <v>62</v>
      </c>
      <c r="D10">
        <v>8.6619996000000005E-2</v>
      </c>
      <c r="E10">
        <v>5.5230000000000001E-2</v>
      </c>
      <c r="F10">
        <v>0.24284</v>
      </c>
      <c r="G10">
        <v>25226000384</v>
      </c>
      <c r="H10">
        <v>0.111</v>
      </c>
      <c r="I10">
        <v>7.8570000000000001E-2</v>
      </c>
      <c r="J10">
        <v>24195999744</v>
      </c>
      <c r="K10">
        <v>67000000000</v>
      </c>
      <c r="L10">
        <v>24690499584</v>
      </c>
      <c r="M10">
        <v>513.03</v>
      </c>
      <c r="N10">
        <v>0.29699999999999999</v>
      </c>
      <c r="O10">
        <v>0.72</v>
      </c>
      <c r="P10">
        <v>6.7900000000000002E-2</v>
      </c>
      <c r="Q10">
        <v>62.929000000000002</v>
      </c>
      <c r="R10">
        <v>0.21984999999999999</v>
      </c>
      <c r="S10">
        <v>23871000576</v>
      </c>
      <c r="T10">
        <v>46964998144</v>
      </c>
      <c r="U10">
        <v>279320985600</v>
      </c>
      <c r="V10">
        <v>25.344999999999999</v>
      </c>
      <c r="W10" t="s">
        <v>40</v>
      </c>
      <c r="X10">
        <v>295.5</v>
      </c>
      <c r="Y10">
        <v>0.65500000000000003</v>
      </c>
      <c r="Z10" t="s">
        <v>42</v>
      </c>
      <c r="AA10" t="s">
        <v>64</v>
      </c>
      <c r="AB10">
        <v>1.754</v>
      </c>
      <c r="AC10">
        <v>20.242999999999999</v>
      </c>
      <c r="AD10">
        <v>21.65</v>
      </c>
      <c r="AE10">
        <v>941851008</v>
      </c>
      <c r="AF10">
        <v>74.605000000000004</v>
      </c>
      <c r="AG10">
        <v>16.111000000000001</v>
      </c>
      <c r="AH10">
        <v>6.8766170000000004</v>
      </c>
      <c r="AI10">
        <v>5.4799999999999996E-3</v>
      </c>
      <c r="AJ10">
        <v>489802792960</v>
      </c>
      <c r="AK10">
        <v>0.28799999999999998</v>
      </c>
      <c r="AL10">
        <v>1.84</v>
      </c>
      <c r="AM10">
        <v>23.696536999999999</v>
      </c>
      <c r="AN10">
        <v>483197845504</v>
      </c>
    </row>
    <row r="11" spans="1:40" x14ac:dyDescent="0.3">
      <c r="A11" s="1">
        <v>10</v>
      </c>
      <c r="B11" t="s">
        <v>66</v>
      </c>
      <c r="C11" t="s">
        <v>65</v>
      </c>
      <c r="D11">
        <v>0.69611999999999996</v>
      </c>
      <c r="E11">
        <v>0.51592000000000005</v>
      </c>
      <c r="F11">
        <v>0.97067999999999999</v>
      </c>
      <c r="G11">
        <v>15946000384</v>
      </c>
      <c r="H11">
        <v>0.24099999999999999</v>
      </c>
      <c r="I11">
        <v>0.66452</v>
      </c>
      <c r="J11">
        <v>17735000064</v>
      </c>
      <c r="K11">
        <v>23375000000</v>
      </c>
      <c r="L11">
        <v>12081874944</v>
      </c>
      <c r="M11">
        <v>218.43</v>
      </c>
      <c r="N11">
        <v>0.29099999999999998</v>
      </c>
      <c r="O11">
        <v>1.395</v>
      </c>
      <c r="P11">
        <v>0.13034999999999999</v>
      </c>
      <c r="Q11">
        <v>57.8</v>
      </c>
      <c r="R11">
        <v>0.35584998000000001</v>
      </c>
      <c r="S11">
        <v>15921000448</v>
      </c>
      <c r="T11">
        <v>20920000512</v>
      </c>
      <c r="U11">
        <v>25476999168</v>
      </c>
      <c r="V11">
        <v>7.5910000000000002</v>
      </c>
      <c r="W11" t="s">
        <v>40</v>
      </c>
      <c r="X11">
        <v>12.01</v>
      </c>
      <c r="Y11">
        <v>1.07</v>
      </c>
      <c r="Z11" t="s">
        <v>42</v>
      </c>
      <c r="AA11" t="s">
        <v>67</v>
      </c>
      <c r="AB11">
        <v>18.202999999999999</v>
      </c>
      <c r="AC11">
        <v>26.149000000000001</v>
      </c>
      <c r="AI11">
        <v>1.3600000999999999E-3</v>
      </c>
      <c r="AJ11">
        <v>463753445376</v>
      </c>
      <c r="AK11">
        <v>0.26600000000000001</v>
      </c>
    </row>
    <row r="12" spans="1:40" x14ac:dyDescent="0.3">
      <c r="A12" s="1">
        <v>11</v>
      </c>
      <c r="B12" t="s">
        <v>69</v>
      </c>
      <c r="C12" t="s">
        <v>68</v>
      </c>
      <c r="D12">
        <v>0.34803000000000001</v>
      </c>
      <c r="E12">
        <v>0.22264</v>
      </c>
      <c r="F12">
        <v>0.68269999999999997</v>
      </c>
      <c r="G12">
        <v>23409999872</v>
      </c>
      <c r="H12">
        <v>0.104</v>
      </c>
      <c r="I12">
        <v>0.26923000000000002</v>
      </c>
      <c r="J12">
        <v>32636999680</v>
      </c>
      <c r="K12">
        <v>64020000000</v>
      </c>
      <c r="L12">
        <v>18816999424</v>
      </c>
      <c r="M12">
        <v>176.92</v>
      </c>
      <c r="N12">
        <v>1.7230000000000001</v>
      </c>
      <c r="O12">
        <v>1.3480000000000001</v>
      </c>
      <c r="P12">
        <v>8.8419999999999999E-2</v>
      </c>
      <c r="Q12">
        <v>46.945999999999998</v>
      </c>
      <c r="R12">
        <v>0.30412</v>
      </c>
      <c r="S12">
        <v>31608000512</v>
      </c>
      <c r="T12">
        <v>34751000576</v>
      </c>
      <c r="U12">
        <v>93775003648</v>
      </c>
      <c r="V12">
        <v>12.022</v>
      </c>
      <c r="W12" t="s">
        <v>40</v>
      </c>
      <c r="X12">
        <v>35.627000000000002</v>
      </c>
      <c r="Y12">
        <v>1.0369999999999999</v>
      </c>
      <c r="Z12" t="s">
        <v>42</v>
      </c>
      <c r="AA12" t="s">
        <v>70</v>
      </c>
      <c r="AB12">
        <v>4.4669999999999996</v>
      </c>
      <c r="AC12">
        <v>12.836</v>
      </c>
      <c r="AD12">
        <v>10.38</v>
      </c>
      <c r="AE12">
        <v>2632600064</v>
      </c>
      <c r="AF12">
        <v>26.693999999999999</v>
      </c>
      <c r="AG12">
        <v>6.6909999999999998</v>
      </c>
      <c r="AH12">
        <v>6.6277065000000004</v>
      </c>
      <c r="AI12">
        <v>8.6000002999999997E-4</v>
      </c>
      <c r="AJ12">
        <v>418935472128</v>
      </c>
      <c r="AK12">
        <v>1.7250000000000001</v>
      </c>
      <c r="AL12">
        <v>2.13</v>
      </c>
      <c r="AM12">
        <v>17.044315000000001</v>
      </c>
      <c r="AN12">
        <v>465759600640</v>
      </c>
    </row>
    <row r="13" spans="1:40" x14ac:dyDescent="0.3">
      <c r="A13" s="1">
        <v>13</v>
      </c>
      <c r="B13" t="s">
        <v>72</v>
      </c>
      <c r="C13" t="s">
        <v>71</v>
      </c>
      <c r="D13">
        <v>6.3899999999999998E-2</v>
      </c>
      <c r="E13">
        <v>2.3869999999999999E-2</v>
      </c>
      <c r="F13">
        <v>0.25098999999999999</v>
      </c>
      <c r="G13">
        <v>24181000192</v>
      </c>
      <c r="H13">
        <v>5.0000000000000001E-3</v>
      </c>
      <c r="I13">
        <v>4.5289996999999999E-2</v>
      </c>
      <c r="J13">
        <v>36600000512</v>
      </c>
      <c r="K13">
        <v>143754000000</v>
      </c>
      <c r="L13">
        <v>13358499840</v>
      </c>
      <c r="M13">
        <v>143.44999999999999</v>
      </c>
      <c r="O13">
        <v>0.92800000000000005</v>
      </c>
      <c r="P13">
        <v>6.5199999999999994E-2</v>
      </c>
      <c r="Q13">
        <v>62.381999999999998</v>
      </c>
      <c r="R13">
        <v>0.15539</v>
      </c>
      <c r="S13">
        <v>14759999488</v>
      </c>
      <c r="T13">
        <v>57322999808</v>
      </c>
      <c r="U13">
        <v>572753969152</v>
      </c>
      <c r="V13">
        <v>5.33</v>
      </c>
      <c r="W13" t="s">
        <v>40</v>
      </c>
      <c r="X13">
        <v>205.14099999999999</v>
      </c>
      <c r="Y13">
        <v>0.26400000000000001</v>
      </c>
      <c r="Z13" t="s">
        <v>42</v>
      </c>
      <c r="AA13" t="s">
        <v>73</v>
      </c>
      <c r="AB13">
        <v>0.74299999999999999</v>
      </c>
      <c r="AC13">
        <v>11.625</v>
      </c>
      <c r="AD13">
        <v>6.72</v>
      </c>
      <c r="AE13">
        <v>2773880064</v>
      </c>
      <c r="AF13">
        <v>29.616</v>
      </c>
      <c r="AG13">
        <v>2.84</v>
      </c>
      <c r="AH13">
        <v>4.8436655999999996</v>
      </c>
      <c r="AI13">
        <v>0.47500999999999999</v>
      </c>
      <c r="AJ13">
        <v>425459023872</v>
      </c>
      <c r="AL13">
        <v>2.73</v>
      </c>
      <c r="AM13">
        <v>21.346724999999999</v>
      </c>
      <c r="AN13">
        <v>397913096192</v>
      </c>
    </row>
    <row r="14" spans="1:40" x14ac:dyDescent="0.3">
      <c r="A14" s="1">
        <v>14</v>
      </c>
      <c r="B14" t="s">
        <v>75</v>
      </c>
      <c r="C14" t="s">
        <v>74</v>
      </c>
      <c r="D14">
        <v>0.27021998000000003</v>
      </c>
      <c r="E14">
        <v>0.1852</v>
      </c>
      <c r="F14">
        <v>0.49445</v>
      </c>
      <c r="G14">
        <v>17972000768</v>
      </c>
      <c r="H14">
        <v>6.0999999999999999E-2</v>
      </c>
      <c r="I14">
        <v>0.23463999999999999</v>
      </c>
      <c r="J14">
        <v>21170999296</v>
      </c>
      <c r="K14">
        <v>39144000000</v>
      </c>
      <c r="L14">
        <v>11721624576</v>
      </c>
      <c r="M14">
        <v>152.83000000000001</v>
      </c>
      <c r="N14">
        <v>0.126</v>
      </c>
      <c r="O14">
        <v>0.67200000000000004</v>
      </c>
      <c r="P14">
        <v>9.5140000000000002E-2</v>
      </c>
      <c r="Q14">
        <v>79.418000000000006</v>
      </c>
      <c r="R14">
        <v>0.31091999999999997</v>
      </c>
      <c r="S14">
        <v>11544000512</v>
      </c>
      <c r="T14">
        <v>35653001216</v>
      </c>
      <c r="U14">
        <v>78346002432</v>
      </c>
      <c r="V14">
        <v>4.8159999999999998</v>
      </c>
      <c r="W14" t="s">
        <v>40</v>
      </c>
      <c r="X14">
        <v>32.165999999999997</v>
      </c>
      <c r="Y14">
        <v>0.441</v>
      </c>
      <c r="Z14" t="s">
        <v>42</v>
      </c>
      <c r="AA14" t="s">
        <v>76</v>
      </c>
      <c r="AB14">
        <v>4.9649999999999999</v>
      </c>
      <c r="AC14">
        <v>18.375</v>
      </c>
      <c r="AD14">
        <v>6.36</v>
      </c>
      <c r="AE14">
        <v>2419950080</v>
      </c>
      <c r="AF14">
        <v>18.7</v>
      </c>
      <c r="AG14">
        <v>5.4720000000000004</v>
      </c>
      <c r="AH14">
        <v>8.1727270000000001</v>
      </c>
      <c r="AI14">
        <v>1.1100000999999999E-3</v>
      </c>
      <c r="AJ14">
        <v>389018681344</v>
      </c>
      <c r="AK14">
        <v>9.6000000000000002E-2</v>
      </c>
      <c r="AL14">
        <v>3.98</v>
      </c>
      <c r="AM14">
        <v>24.029875000000001</v>
      </c>
      <c r="AN14">
        <v>369840979968</v>
      </c>
    </row>
    <row r="15" spans="1:40" x14ac:dyDescent="0.3">
      <c r="A15" s="1">
        <v>15</v>
      </c>
      <c r="B15" t="s">
        <v>78</v>
      </c>
      <c r="C15" t="s">
        <v>77</v>
      </c>
      <c r="D15">
        <v>0.16555998999999999</v>
      </c>
      <c r="E15">
        <v>8.2589999999999997E-2</v>
      </c>
      <c r="F15">
        <v>0.32276001999999998</v>
      </c>
      <c r="G15">
        <v>48128999424</v>
      </c>
      <c r="H15">
        <v>0.79400000000000004</v>
      </c>
      <c r="I15">
        <v>9.5990000000000006E-2</v>
      </c>
      <c r="J15">
        <v>46186999808</v>
      </c>
      <c r="K15">
        <v>90045000000</v>
      </c>
      <c r="L15">
        <v>28528625664</v>
      </c>
      <c r="M15">
        <v>85.2</v>
      </c>
      <c r="O15">
        <v>1.044</v>
      </c>
      <c r="P15">
        <v>4.9840003000000001E-2</v>
      </c>
      <c r="Q15">
        <v>30.184000000000001</v>
      </c>
      <c r="R15">
        <v>0.13889000000000001</v>
      </c>
      <c r="S15">
        <v>6801999872</v>
      </c>
      <c r="T15">
        <v>53028999168</v>
      </c>
      <c r="U15">
        <v>278980984832</v>
      </c>
      <c r="V15">
        <v>1.607</v>
      </c>
      <c r="W15" t="s">
        <v>40</v>
      </c>
      <c r="X15">
        <v>65.259</v>
      </c>
      <c r="Y15">
        <v>0.69199999999999995</v>
      </c>
      <c r="Z15" t="s">
        <v>42</v>
      </c>
      <c r="AA15" t="s">
        <v>79</v>
      </c>
      <c r="AB15">
        <v>1.341</v>
      </c>
      <c r="AC15">
        <v>8.1029999999999998</v>
      </c>
      <c r="AD15">
        <v>5.88</v>
      </c>
      <c r="AE15">
        <v>4233540096</v>
      </c>
      <c r="AF15">
        <v>37.932000000000002</v>
      </c>
      <c r="AG15">
        <v>-1.3859999999999999</v>
      </c>
      <c r="AH15">
        <v>2.2461245000000001</v>
      </c>
      <c r="AI15">
        <v>1.0200000000000001E-3</v>
      </c>
      <c r="AJ15">
        <v>374239297536</v>
      </c>
      <c r="AL15">
        <v>13.11</v>
      </c>
      <c r="AM15">
        <v>14.489795000000001</v>
      </c>
      <c r="AN15">
        <v>363009933312</v>
      </c>
    </row>
    <row r="16" spans="1:40" x14ac:dyDescent="0.3">
      <c r="A16" s="1">
        <v>17</v>
      </c>
      <c r="B16" t="s">
        <v>80</v>
      </c>
      <c r="C16" t="s">
        <v>65</v>
      </c>
      <c r="D16">
        <v>0.58217996000000005</v>
      </c>
      <c r="E16">
        <v>0.46001998</v>
      </c>
      <c r="F16">
        <v>1</v>
      </c>
      <c r="G16">
        <v>9463000064</v>
      </c>
      <c r="H16">
        <v>0.26600000000000001</v>
      </c>
      <c r="I16">
        <v>0.54374003000000004</v>
      </c>
      <c r="J16">
        <v>10993999872</v>
      </c>
      <c r="K16">
        <v>18884000000</v>
      </c>
      <c r="L16">
        <v>8458124800</v>
      </c>
      <c r="M16">
        <v>349.02</v>
      </c>
      <c r="N16">
        <v>0.35499999999999998</v>
      </c>
      <c r="O16">
        <v>1.288</v>
      </c>
      <c r="P16">
        <v>0.18013000000000001</v>
      </c>
      <c r="Q16">
        <v>197.96299999999999</v>
      </c>
      <c r="R16">
        <v>1.2473301000000001</v>
      </c>
      <c r="S16">
        <v>7894000128</v>
      </c>
      <c r="T16">
        <v>14673000448</v>
      </c>
      <c r="U16">
        <v>18883999744</v>
      </c>
      <c r="V16">
        <v>8.0760000000000005</v>
      </c>
      <c r="W16" t="s">
        <v>40</v>
      </c>
      <c r="X16">
        <v>19.113</v>
      </c>
      <c r="Y16">
        <v>0.92800000000000005</v>
      </c>
      <c r="Z16" t="s">
        <v>42</v>
      </c>
      <c r="AA16" t="s">
        <v>81</v>
      </c>
      <c r="AB16">
        <v>19.041</v>
      </c>
      <c r="AC16">
        <v>32.706000000000003</v>
      </c>
      <c r="AD16">
        <v>10.53</v>
      </c>
      <c r="AE16">
        <v>974708992</v>
      </c>
      <c r="AF16">
        <v>6.8140000000000001</v>
      </c>
      <c r="AG16">
        <v>8.1300000000000008</v>
      </c>
      <c r="AH16">
        <v>51.221012000000002</v>
      </c>
      <c r="AI16">
        <v>0.10854999999999999</v>
      </c>
      <c r="AJ16">
        <v>359572045824</v>
      </c>
      <c r="AK16">
        <v>0.33300000000000002</v>
      </c>
      <c r="AL16">
        <v>1.73</v>
      </c>
      <c r="AM16">
        <v>33.145297999999997</v>
      </c>
      <c r="AN16">
        <v>342932029440</v>
      </c>
    </row>
    <row r="17" spans="1:40" x14ac:dyDescent="0.3">
      <c r="A17" s="1">
        <v>18</v>
      </c>
      <c r="B17" t="s">
        <v>83</v>
      </c>
      <c r="C17" t="s">
        <v>82</v>
      </c>
      <c r="D17">
        <v>0.17396</v>
      </c>
      <c r="E17">
        <v>0.10791001</v>
      </c>
      <c r="F17">
        <v>0.33717999999999998</v>
      </c>
      <c r="G17">
        <v>14810000384</v>
      </c>
      <c r="H17">
        <v>9.8000000000000004E-2</v>
      </c>
      <c r="I17">
        <v>0.15504999999999999</v>
      </c>
      <c r="J17">
        <v>25693999104</v>
      </c>
      <c r="K17">
        <v>44853000000</v>
      </c>
      <c r="L17">
        <v>9990124544</v>
      </c>
      <c r="M17">
        <v>310.68</v>
      </c>
      <c r="N17">
        <v>0.23300000000000001</v>
      </c>
      <c r="O17">
        <v>1.1319999999999999</v>
      </c>
      <c r="P17">
        <v>0.20454</v>
      </c>
      <c r="Q17">
        <v>4373.43</v>
      </c>
      <c r="R17">
        <v>12.4031105</v>
      </c>
      <c r="S17">
        <v>5066999808</v>
      </c>
      <c r="T17">
        <v>45264998400</v>
      </c>
      <c r="U17">
        <v>147699007488</v>
      </c>
      <c r="V17">
        <v>4.8520000000000003</v>
      </c>
      <c r="W17" t="s">
        <v>40</v>
      </c>
      <c r="X17">
        <v>138.97800000000001</v>
      </c>
      <c r="Y17">
        <v>0.32</v>
      </c>
      <c r="Z17" t="s">
        <v>42</v>
      </c>
      <c r="AA17" t="s">
        <v>84</v>
      </c>
      <c r="AB17">
        <v>3.1909999999999998</v>
      </c>
      <c r="AC17">
        <v>18.343</v>
      </c>
      <c r="AD17">
        <v>16.190000000000001</v>
      </c>
      <c r="AE17">
        <v>1044240000</v>
      </c>
      <c r="AF17">
        <v>0.98899999999999999</v>
      </c>
      <c r="AG17">
        <v>14.955</v>
      </c>
      <c r="AH17">
        <v>314.13547</v>
      </c>
      <c r="AI17">
        <v>6.0999999999999997E-4</v>
      </c>
      <c r="AJ17">
        <v>471301718016</v>
      </c>
      <c r="AK17">
        <v>0.20300000000000001</v>
      </c>
      <c r="AL17">
        <v>1.95</v>
      </c>
      <c r="AM17">
        <v>19.189623000000001</v>
      </c>
      <c r="AN17">
        <v>324424466432</v>
      </c>
    </row>
    <row r="18" spans="1:40" x14ac:dyDescent="0.3">
      <c r="A18" s="1">
        <v>19</v>
      </c>
      <c r="B18" t="s">
        <v>85</v>
      </c>
      <c r="C18" t="s">
        <v>77</v>
      </c>
      <c r="D18">
        <v>0.21459</v>
      </c>
      <c r="E18">
        <v>0.10041000999999999</v>
      </c>
      <c r="F18">
        <v>0.42564999999999997</v>
      </c>
      <c r="G18">
        <v>29199998976</v>
      </c>
      <c r="H18">
        <v>0.84599999999999997</v>
      </c>
      <c r="I18">
        <v>9.9559999999999996E-2</v>
      </c>
      <c r="J18">
        <v>33392001024</v>
      </c>
      <c r="K18">
        <v>66234000000</v>
      </c>
      <c r="M18">
        <v>169.31</v>
      </c>
      <c r="Q18">
        <v>27.315999999999999</v>
      </c>
      <c r="R18">
        <v>0.116450004</v>
      </c>
      <c r="S18">
        <v>6032000000</v>
      </c>
      <c r="T18">
        <v>37347000320</v>
      </c>
      <c r="U18">
        <v>155606007808</v>
      </c>
      <c r="V18">
        <v>3.129</v>
      </c>
      <c r="W18" t="s">
        <v>40</v>
      </c>
      <c r="X18">
        <v>81.213999999999999</v>
      </c>
      <c r="Z18" t="s">
        <v>42</v>
      </c>
      <c r="AA18" t="s">
        <v>86</v>
      </c>
      <c r="AB18">
        <v>1.877</v>
      </c>
      <c r="AC18">
        <v>8.7479999999999993</v>
      </c>
      <c r="AD18">
        <v>9.51</v>
      </c>
      <c r="AE18">
        <v>1927689984</v>
      </c>
      <c r="AF18">
        <v>70.478999999999999</v>
      </c>
      <c r="AG18">
        <v>5.173</v>
      </c>
      <c r="AH18">
        <v>2.4022760000000001</v>
      </c>
      <c r="AI18">
        <v>3.6999999999999999E-4</v>
      </c>
      <c r="AJ18">
        <v>292123443200</v>
      </c>
      <c r="AL18">
        <v>-2.98</v>
      </c>
      <c r="AM18">
        <v>17.803363999999998</v>
      </c>
      <c r="AN18">
        <v>326377177088</v>
      </c>
    </row>
    <row r="19" spans="1:40" x14ac:dyDescent="0.3">
      <c r="A19" s="1">
        <v>20</v>
      </c>
      <c r="B19" t="s">
        <v>87</v>
      </c>
      <c r="C19" t="s">
        <v>68</v>
      </c>
      <c r="D19">
        <v>0.39382</v>
      </c>
      <c r="E19">
        <v>0.28683999999999998</v>
      </c>
      <c r="F19">
        <v>0.65414000000000005</v>
      </c>
      <c r="G19">
        <v>32291000320</v>
      </c>
      <c r="H19">
        <v>1.3440000000000001</v>
      </c>
      <c r="I19">
        <v>0.32139000000000001</v>
      </c>
      <c r="J19">
        <v>27306000384</v>
      </c>
      <c r="K19">
        <v>33334000000</v>
      </c>
      <c r="L19">
        <v>42431250432</v>
      </c>
      <c r="M19">
        <v>52.78</v>
      </c>
      <c r="N19">
        <v>4.468</v>
      </c>
      <c r="O19">
        <v>1.385</v>
      </c>
      <c r="P19">
        <v>7.7770000000000006E-2</v>
      </c>
      <c r="Q19">
        <v>52.496000000000002</v>
      </c>
      <c r="R19">
        <v>0.27746999999999999</v>
      </c>
      <c r="S19">
        <v>29702000640</v>
      </c>
      <c r="T19">
        <v>39879000064</v>
      </c>
      <c r="U19">
        <v>69336997888</v>
      </c>
      <c r="V19">
        <v>5.2919999999999998</v>
      </c>
      <c r="W19" t="s">
        <v>40</v>
      </c>
      <c r="X19">
        <v>12.407</v>
      </c>
      <c r="Y19">
        <v>1.0880000000000001</v>
      </c>
      <c r="Z19" t="s">
        <v>42</v>
      </c>
      <c r="AA19" t="s">
        <v>88</v>
      </c>
      <c r="AB19">
        <v>4.5650000000000004</v>
      </c>
      <c r="AC19">
        <v>11.592000000000001</v>
      </c>
      <c r="AD19">
        <v>49.43</v>
      </c>
      <c r="AE19">
        <v>5612870144</v>
      </c>
      <c r="AF19">
        <v>13.49</v>
      </c>
      <c r="AG19">
        <v>3.5009999999999999</v>
      </c>
      <c r="AH19">
        <v>3.9125277999999999</v>
      </c>
      <c r="AI19">
        <v>3.7999997999999999E-4</v>
      </c>
      <c r="AJ19">
        <v>316521611264</v>
      </c>
      <c r="AK19">
        <v>4.5449999999999999</v>
      </c>
      <c r="AL19">
        <v>0.01</v>
      </c>
      <c r="AM19">
        <v>1.0677726000000001</v>
      </c>
      <c r="AN19">
        <v>296247263232</v>
      </c>
    </row>
    <row r="20" spans="1:40" x14ac:dyDescent="0.3">
      <c r="A20" s="1">
        <v>21</v>
      </c>
      <c r="B20" t="s">
        <v>89</v>
      </c>
      <c r="C20" t="s">
        <v>68</v>
      </c>
      <c r="D20">
        <v>0.50286995999999995</v>
      </c>
      <c r="E20">
        <v>0.20538001</v>
      </c>
      <c r="F20">
        <v>0.69338</v>
      </c>
      <c r="H20">
        <v>7.3999999999999996E-2</v>
      </c>
      <c r="I20">
        <v>0.34765000000000001</v>
      </c>
      <c r="J20">
        <v>28259663872</v>
      </c>
      <c r="K20">
        <v>38966000000</v>
      </c>
      <c r="M20">
        <v>161.33000000000001</v>
      </c>
      <c r="N20">
        <v>248.779</v>
      </c>
      <c r="Q20">
        <v>594.66</v>
      </c>
      <c r="R20">
        <v>0.86594002999999997</v>
      </c>
      <c r="S20">
        <v>12248999936</v>
      </c>
      <c r="T20">
        <v>80737001472</v>
      </c>
      <c r="U20">
        <v>56197001216</v>
      </c>
      <c r="V20">
        <v>6.9290000000000003</v>
      </c>
      <c r="W20" t="s">
        <v>40</v>
      </c>
      <c r="X20">
        <v>31.625</v>
      </c>
      <c r="Z20" t="s">
        <v>42</v>
      </c>
      <c r="AA20" t="s">
        <v>90</v>
      </c>
      <c r="AB20">
        <v>5.8079999999999998</v>
      </c>
      <c r="AC20">
        <v>11.55</v>
      </c>
      <c r="AD20">
        <v>13.97</v>
      </c>
      <c r="AE20">
        <v>1767879936</v>
      </c>
      <c r="AF20">
        <v>7.665</v>
      </c>
      <c r="AG20">
        <v>4.1959999999999997</v>
      </c>
      <c r="AH20">
        <v>21.047619000000001</v>
      </c>
      <c r="AI20">
        <v>1.07E-3</v>
      </c>
      <c r="AJ20">
        <v>326395723776</v>
      </c>
      <c r="AK20">
        <v>111.333</v>
      </c>
      <c r="AL20">
        <v>2.38</v>
      </c>
      <c r="AM20">
        <v>11.548318</v>
      </c>
      <c r="AN20">
        <v>285212082176</v>
      </c>
    </row>
    <row r="21" spans="1:40" x14ac:dyDescent="0.3">
      <c r="A21" s="1">
        <v>22</v>
      </c>
      <c r="B21" t="s">
        <v>91</v>
      </c>
      <c r="C21" t="s">
        <v>68</v>
      </c>
      <c r="D21">
        <v>0.34789002000000002</v>
      </c>
      <c r="E21">
        <v>0.21515000000000001</v>
      </c>
      <c r="F21">
        <v>0.76412999999999998</v>
      </c>
      <c r="G21">
        <v>6919399936</v>
      </c>
      <c r="H21">
        <v>0.18</v>
      </c>
      <c r="I21">
        <v>0.29496</v>
      </c>
      <c r="J21">
        <v>9656999936</v>
      </c>
      <c r="K21">
        <v>19056500000</v>
      </c>
      <c r="L21">
        <v>3820699904</v>
      </c>
      <c r="M21">
        <v>289.02</v>
      </c>
      <c r="N21">
        <v>-8.3000000000000004E-2</v>
      </c>
      <c r="O21">
        <v>1.302</v>
      </c>
      <c r="P21">
        <v>0.11108</v>
      </c>
      <c r="Q21">
        <v>215.45</v>
      </c>
      <c r="R21">
        <v>0.92237000000000002</v>
      </c>
      <c r="S21">
        <v>3852499968</v>
      </c>
      <c r="T21">
        <v>17137099776</v>
      </c>
      <c r="U21">
        <v>27758499840</v>
      </c>
      <c r="V21">
        <v>4.2489999999999997</v>
      </c>
      <c r="W21" t="s">
        <v>40</v>
      </c>
      <c r="X21">
        <v>30.577999999999999</v>
      </c>
      <c r="Y21">
        <v>0.79300000000000004</v>
      </c>
      <c r="Z21" t="s">
        <v>42</v>
      </c>
      <c r="AA21" t="s">
        <v>92</v>
      </c>
      <c r="AB21">
        <v>8.9550000000000001</v>
      </c>
      <c r="AC21">
        <v>25.742000000000001</v>
      </c>
      <c r="AD21">
        <v>7.49</v>
      </c>
      <c r="AE21">
        <v>956592000</v>
      </c>
      <c r="AF21">
        <v>8.5519999999999996</v>
      </c>
      <c r="AG21">
        <v>6.55</v>
      </c>
      <c r="AH21">
        <v>33.7956</v>
      </c>
      <c r="AI21">
        <v>1.5199999E-3</v>
      </c>
      <c r="AJ21">
        <v>248588304384</v>
      </c>
      <c r="AK21">
        <v>-8.1000000000000003E-2</v>
      </c>
      <c r="AL21">
        <v>5.2</v>
      </c>
      <c r="AM21">
        <v>38.587449999999997</v>
      </c>
      <c r="AN21">
        <v>276474200064</v>
      </c>
    </row>
    <row r="22" spans="1:40" x14ac:dyDescent="0.3">
      <c r="A22" s="1">
        <v>23</v>
      </c>
      <c r="B22" t="s">
        <v>94</v>
      </c>
      <c r="C22" t="s">
        <v>93</v>
      </c>
      <c r="D22">
        <v>0.35199000000000003</v>
      </c>
      <c r="E22">
        <v>0.23313998999999999</v>
      </c>
      <c r="F22">
        <v>0.60723996000000002</v>
      </c>
      <c r="G22">
        <v>12855000064</v>
      </c>
      <c r="H22">
        <v>0.161</v>
      </c>
      <c r="I22">
        <v>0.31123000000000001</v>
      </c>
      <c r="J22">
        <v>13306000384</v>
      </c>
      <c r="K22">
        <v>19581000000</v>
      </c>
      <c r="L22">
        <v>7007374848</v>
      </c>
      <c r="M22">
        <v>61.53</v>
      </c>
      <c r="N22">
        <v>0.42499999999999999</v>
      </c>
      <c r="O22">
        <v>1.516</v>
      </c>
      <c r="P22">
        <v>7.8310000000000005E-2</v>
      </c>
      <c r="Q22">
        <v>172.82599999999999</v>
      </c>
      <c r="R22">
        <v>0.39722002000000001</v>
      </c>
      <c r="S22">
        <v>14871000064</v>
      </c>
      <c r="T22">
        <v>41707999232</v>
      </c>
      <c r="U22">
        <v>37802000384</v>
      </c>
      <c r="V22">
        <v>3.4430000000000001</v>
      </c>
      <c r="W22" t="s">
        <v>40</v>
      </c>
      <c r="X22">
        <v>8.7710000000000008</v>
      </c>
      <c r="Y22">
        <v>1.173</v>
      </c>
      <c r="Z22" t="s">
        <v>42</v>
      </c>
      <c r="AA22" t="s">
        <v>95</v>
      </c>
      <c r="AB22">
        <v>7.6509999999999998</v>
      </c>
      <c r="AC22">
        <v>21.734999999999999</v>
      </c>
      <c r="AD22">
        <v>2.4300000000000002</v>
      </c>
      <c r="AE22">
        <v>4319419904</v>
      </c>
      <c r="AF22">
        <v>5.1349999999999998</v>
      </c>
      <c r="AG22">
        <v>2.0310000000000001</v>
      </c>
      <c r="AH22">
        <v>11.982472</v>
      </c>
      <c r="AI22">
        <v>6.3600000000000002E-3</v>
      </c>
      <c r="AJ22">
        <v>289208860672</v>
      </c>
      <c r="AK22">
        <v>0.42299999999999999</v>
      </c>
      <c r="AL22">
        <v>2.72</v>
      </c>
      <c r="AM22">
        <v>25.320986000000001</v>
      </c>
      <c r="AN22">
        <v>265773907968</v>
      </c>
    </row>
    <row r="23" spans="1:40" x14ac:dyDescent="0.3">
      <c r="A23" s="1">
        <v>24</v>
      </c>
      <c r="B23" t="s">
        <v>96</v>
      </c>
      <c r="C23" t="s">
        <v>57</v>
      </c>
      <c r="D23">
        <v>0.53639000000000003</v>
      </c>
      <c r="E23">
        <v>0.24539</v>
      </c>
      <c r="F23">
        <v>0.73908996999999999</v>
      </c>
      <c r="G23">
        <v>13763999744</v>
      </c>
      <c r="H23">
        <v>0.14499999999999999</v>
      </c>
      <c r="I23">
        <v>0.31631999999999999</v>
      </c>
      <c r="J23">
        <v>14723999744</v>
      </c>
      <c r="K23">
        <v>20288000000</v>
      </c>
      <c r="L23">
        <v>11868749824</v>
      </c>
      <c r="M23">
        <v>628.87</v>
      </c>
      <c r="N23">
        <v>0.52100000000000002</v>
      </c>
      <c r="O23">
        <v>2.641</v>
      </c>
      <c r="P23">
        <v>7.1639999999999995E-2</v>
      </c>
      <c r="Q23">
        <v>161.16300000000001</v>
      </c>
      <c r="R23">
        <v>0.27556000000000003</v>
      </c>
      <c r="S23">
        <v>12163000320</v>
      </c>
      <c r="T23">
        <v>40272998400</v>
      </c>
      <c r="U23">
        <v>27449999360</v>
      </c>
      <c r="V23">
        <v>29.459</v>
      </c>
      <c r="W23" t="s">
        <v>40</v>
      </c>
      <c r="X23">
        <v>66.950999999999993</v>
      </c>
      <c r="Y23">
        <v>2.266</v>
      </c>
      <c r="Z23" t="s">
        <v>42</v>
      </c>
      <c r="AA23" t="s">
        <v>97</v>
      </c>
      <c r="AB23">
        <v>9.65</v>
      </c>
      <c r="AC23">
        <v>17.989999999999998</v>
      </c>
      <c r="AD23">
        <v>36.049999999999997</v>
      </c>
      <c r="AE23">
        <v>412873984</v>
      </c>
      <c r="AF23">
        <v>60.441000000000003</v>
      </c>
      <c r="AG23">
        <v>15</v>
      </c>
      <c r="AH23">
        <v>10.404692000000001</v>
      </c>
      <c r="AI23">
        <v>2.3910000000000001E-2</v>
      </c>
      <c r="AJ23">
        <v>264887189504</v>
      </c>
      <c r="AK23">
        <v>0.502</v>
      </c>
      <c r="AL23">
        <v>1.38</v>
      </c>
      <c r="AM23">
        <v>17.444383999999999</v>
      </c>
      <c r="AN23">
        <v>259644063744</v>
      </c>
    </row>
    <row r="24" spans="1:40" x14ac:dyDescent="0.3">
      <c r="A24" s="1">
        <v>25</v>
      </c>
      <c r="B24" t="s">
        <v>99</v>
      </c>
      <c r="C24" t="s">
        <v>98</v>
      </c>
      <c r="D24">
        <v>0.12761</v>
      </c>
      <c r="E24">
        <v>2.9590001000000001E-2</v>
      </c>
      <c r="F24">
        <v>0.33057999999999998</v>
      </c>
      <c r="G24">
        <v>5567000064</v>
      </c>
      <c r="H24">
        <v>0.26</v>
      </c>
      <c r="I24">
        <v>5.1799998E-2</v>
      </c>
      <c r="J24">
        <v>8602999808</v>
      </c>
      <c r="K24">
        <v>22287000000</v>
      </c>
      <c r="L24">
        <v>7388250112</v>
      </c>
      <c r="M24">
        <v>139.13999999999999</v>
      </c>
      <c r="O24">
        <v>1.083</v>
      </c>
      <c r="P24">
        <v>1.07700005E-2</v>
      </c>
      <c r="Q24">
        <v>57.043999999999997</v>
      </c>
      <c r="R24">
        <v>2.5390000999999999E-2</v>
      </c>
      <c r="S24">
        <v>15959000064</v>
      </c>
      <c r="T24">
        <v>58312998912</v>
      </c>
      <c r="U24">
        <v>67418001408</v>
      </c>
      <c r="V24">
        <v>8.7799999999999994</v>
      </c>
      <c r="W24" t="s">
        <v>40</v>
      </c>
      <c r="X24">
        <v>37.124000000000002</v>
      </c>
      <c r="Y24">
        <v>0.94399999999999995</v>
      </c>
      <c r="Z24" t="s">
        <v>42</v>
      </c>
      <c r="AA24" t="s">
        <v>100</v>
      </c>
      <c r="AB24">
        <v>5.03</v>
      </c>
      <c r="AC24">
        <v>39.414999999999999</v>
      </c>
      <c r="AD24">
        <v>5.0599999999999996</v>
      </c>
      <c r="AE24">
        <v>1817660032</v>
      </c>
      <c r="AF24">
        <v>48.709000000000003</v>
      </c>
      <c r="AG24">
        <v>1.0940000000000001</v>
      </c>
      <c r="AH24">
        <v>2.8565562</v>
      </c>
      <c r="AI24">
        <v>9.8999999999999999E-4</v>
      </c>
      <c r="AJ24">
        <v>339088572416</v>
      </c>
      <c r="AL24">
        <v>1.07</v>
      </c>
      <c r="AM24">
        <v>27.498024000000001</v>
      </c>
      <c r="AN24">
        <v>252909207552</v>
      </c>
    </row>
    <row r="25" spans="1:40" x14ac:dyDescent="0.3">
      <c r="A25" s="1">
        <v>26</v>
      </c>
      <c r="B25" t="s">
        <v>101</v>
      </c>
      <c r="C25" t="s">
        <v>71</v>
      </c>
      <c r="D25">
        <v>4.6350002000000001E-2</v>
      </c>
      <c r="E25">
        <v>2.5430000000000001E-2</v>
      </c>
      <c r="F25">
        <v>0.12755999000000001</v>
      </c>
      <c r="G25">
        <v>9569000448</v>
      </c>
      <c r="H25">
        <v>0.16600000000000001</v>
      </c>
      <c r="I25">
        <v>3.7440000000000001E-2</v>
      </c>
      <c r="J25">
        <v>9413000192</v>
      </c>
      <c r="K25">
        <v>25245000000</v>
      </c>
      <c r="L25">
        <v>687625024</v>
      </c>
      <c r="M25">
        <v>555.71</v>
      </c>
      <c r="N25">
        <v>0.13700000000000001</v>
      </c>
      <c r="O25">
        <v>1.0149999999999999</v>
      </c>
      <c r="P25">
        <v>7.6429999999999998E-2</v>
      </c>
      <c r="Q25">
        <v>53.237000000000002</v>
      </c>
      <c r="R25">
        <v>0.30563000000000001</v>
      </c>
      <c r="S25">
        <v>13475999744</v>
      </c>
      <c r="T25">
        <v>10115000320</v>
      </c>
      <c r="U25">
        <v>203084005376</v>
      </c>
      <c r="V25">
        <v>30.39</v>
      </c>
      <c r="W25" t="s">
        <v>40</v>
      </c>
      <c r="X25">
        <v>458.22699999999998</v>
      </c>
      <c r="Y25">
        <v>0.46200000000000002</v>
      </c>
      <c r="Z25" t="s">
        <v>42</v>
      </c>
      <c r="AA25" t="s">
        <v>102</v>
      </c>
      <c r="AB25">
        <v>1.105</v>
      </c>
      <c r="AC25">
        <v>23.838000000000001</v>
      </c>
      <c r="AD25">
        <v>13.96</v>
      </c>
      <c r="AE25">
        <v>443432000</v>
      </c>
      <c r="AF25">
        <v>41.636000000000003</v>
      </c>
      <c r="AG25">
        <v>11.63</v>
      </c>
      <c r="AH25">
        <v>13.346864</v>
      </c>
      <c r="AI25">
        <v>2.0400000000000001E-3</v>
      </c>
      <c r="AJ25">
        <v>224390807552</v>
      </c>
      <c r="AK25">
        <v>0.13600000000000001</v>
      </c>
      <c r="AL25">
        <v>4.42</v>
      </c>
      <c r="AM25">
        <v>39.807310000000001</v>
      </c>
      <c r="AN25">
        <v>246419603456</v>
      </c>
    </row>
    <row r="26" spans="1:40" x14ac:dyDescent="0.3">
      <c r="A26" s="1">
        <v>27</v>
      </c>
      <c r="B26" t="s">
        <v>103</v>
      </c>
      <c r="C26" t="s">
        <v>93</v>
      </c>
      <c r="D26">
        <v>0.18109</v>
      </c>
      <c r="E26">
        <v>0.10617</v>
      </c>
      <c r="F26">
        <v>0.53927000000000003</v>
      </c>
      <c r="G26">
        <v>11123999744</v>
      </c>
      <c r="H26">
        <v>0.11600000000000001</v>
      </c>
      <c r="I26">
        <v>0.15434999999999999</v>
      </c>
      <c r="J26">
        <v>13886000128</v>
      </c>
      <c r="K26">
        <v>38637000000</v>
      </c>
      <c r="L26">
        <v>4287749888</v>
      </c>
      <c r="M26">
        <v>165.24</v>
      </c>
      <c r="N26">
        <v>-0.03</v>
      </c>
      <c r="O26">
        <v>0.94499999999999995</v>
      </c>
      <c r="P26">
        <v>7.9840004000000006E-2</v>
      </c>
      <c r="Q26">
        <v>258.017</v>
      </c>
      <c r="R26">
        <v>0.55412996000000003</v>
      </c>
      <c r="S26">
        <v>6849999872</v>
      </c>
      <c r="T26">
        <v>41257000960</v>
      </c>
      <c r="U26">
        <v>76681003008</v>
      </c>
      <c r="V26">
        <v>4.9539999999999997</v>
      </c>
      <c r="W26" t="s">
        <v>40</v>
      </c>
      <c r="X26">
        <v>55.545999999999999</v>
      </c>
      <c r="Y26">
        <v>0.65400000000000003</v>
      </c>
      <c r="Z26" t="s">
        <v>42</v>
      </c>
      <c r="AA26" t="s">
        <v>104</v>
      </c>
      <c r="AB26">
        <v>3.5739999999999998</v>
      </c>
      <c r="AC26">
        <v>19.734999999999999</v>
      </c>
      <c r="AD26">
        <v>6.74</v>
      </c>
      <c r="AE26">
        <v>1382649984</v>
      </c>
      <c r="AF26">
        <v>11.484</v>
      </c>
      <c r="AG26">
        <v>5.87</v>
      </c>
      <c r="AH26">
        <v>14.388714999999999</v>
      </c>
      <c r="AI26">
        <v>1.3500000000000001E-3</v>
      </c>
      <c r="AJ26">
        <v>274041962496</v>
      </c>
      <c r="AK26">
        <v>-2.9000000000000001E-2</v>
      </c>
      <c r="AL26">
        <v>2.85</v>
      </c>
      <c r="AM26">
        <v>24.516321000000001</v>
      </c>
      <c r="AN26">
        <v>228469096448</v>
      </c>
    </row>
    <row r="27" spans="1:40" x14ac:dyDescent="0.3">
      <c r="A27" s="1">
        <v>28</v>
      </c>
      <c r="B27" t="s">
        <v>106</v>
      </c>
      <c r="C27" t="s">
        <v>105</v>
      </c>
      <c r="D27">
        <v>0.31235000000000002</v>
      </c>
      <c r="E27">
        <v>0.22439999999999999</v>
      </c>
      <c r="F27">
        <v>0.63726000000000005</v>
      </c>
      <c r="G27">
        <v>14785000448</v>
      </c>
      <c r="H27">
        <v>8.1000000000000003E-2</v>
      </c>
      <c r="I27">
        <v>0.27665000000000001</v>
      </c>
      <c r="J27">
        <v>15864000512</v>
      </c>
      <c r="K27">
        <v>31894000000</v>
      </c>
      <c r="L27">
        <v>10929999872</v>
      </c>
      <c r="M27">
        <v>54.97</v>
      </c>
      <c r="N27">
        <v>0.373</v>
      </c>
      <c r="O27">
        <v>1.6180000000000001</v>
      </c>
      <c r="P27">
        <v>9.196E-2</v>
      </c>
      <c r="Q27">
        <v>25.032</v>
      </c>
      <c r="R27">
        <v>0.28190001999999997</v>
      </c>
      <c r="S27">
        <v>23352000512</v>
      </c>
      <c r="T27">
        <v>10689000448</v>
      </c>
      <c r="U27">
        <v>50788999168</v>
      </c>
      <c r="V27">
        <v>5.5369999999999999</v>
      </c>
      <c r="W27" t="s">
        <v>40</v>
      </c>
      <c r="X27">
        <v>12.038</v>
      </c>
      <c r="Y27">
        <v>1.4079999999999999</v>
      </c>
      <c r="Z27" t="s">
        <v>42</v>
      </c>
      <c r="AA27" t="s">
        <v>107</v>
      </c>
      <c r="AB27">
        <v>4.2270000000000003</v>
      </c>
      <c r="AC27">
        <v>13.532</v>
      </c>
      <c r="AD27">
        <v>3.68</v>
      </c>
      <c r="AE27">
        <v>4217609984</v>
      </c>
      <c r="AF27">
        <v>10.125999999999999</v>
      </c>
      <c r="AG27">
        <v>2.69</v>
      </c>
      <c r="AH27">
        <v>5.4285994000000004</v>
      </c>
      <c r="AI27">
        <v>6.9999999999999999E-4</v>
      </c>
      <c r="AJ27">
        <v>214665986048</v>
      </c>
      <c r="AK27">
        <v>0.371</v>
      </c>
      <c r="AL27">
        <v>2.73</v>
      </c>
      <c r="AM27">
        <v>14.9375</v>
      </c>
      <c r="AN27">
        <v>231842021376</v>
      </c>
    </row>
    <row r="28" spans="1:40" x14ac:dyDescent="0.3">
      <c r="A28" s="1">
        <v>29</v>
      </c>
      <c r="B28" t="s">
        <v>109</v>
      </c>
      <c r="C28" t="s">
        <v>108</v>
      </c>
      <c r="D28">
        <v>0.32686999999999999</v>
      </c>
      <c r="E28">
        <v>0.19700999999999999</v>
      </c>
      <c r="F28">
        <v>0.51602999999999999</v>
      </c>
      <c r="G28">
        <v>9543000064</v>
      </c>
      <c r="H28">
        <v>1.4E-2</v>
      </c>
      <c r="I28">
        <v>0.26077</v>
      </c>
      <c r="J28">
        <v>12817000448</v>
      </c>
      <c r="K28">
        <v>20234000000</v>
      </c>
      <c r="L28">
        <v>5478624768</v>
      </c>
      <c r="M28">
        <v>574.29</v>
      </c>
      <c r="N28">
        <v>-0.33100000000000002</v>
      </c>
      <c r="O28">
        <v>1.504</v>
      </c>
      <c r="P28">
        <v>7.8009999999999996E-2</v>
      </c>
      <c r="Q28">
        <v>85.096999999999994</v>
      </c>
      <c r="R28">
        <v>0.20476</v>
      </c>
      <c r="S28">
        <v>4477000192</v>
      </c>
      <c r="T28">
        <v>34870001664</v>
      </c>
      <c r="U28">
        <v>39210999808</v>
      </c>
      <c r="V28">
        <v>11.363</v>
      </c>
      <c r="W28" t="s">
        <v>40</v>
      </c>
      <c r="X28">
        <v>99.52</v>
      </c>
      <c r="Y28">
        <v>0.93300000000000005</v>
      </c>
      <c r="Z28" t="s">
        <v>42</v>
      </c>
      <c r="AA28" t="s">
        <v>110</v>
      </c>
      <c r="AB28">
        <v>6.2060000000000004</v>
      </c>
      <c r="AC28">
        <v>18.986000000000001</v>
      </c>
      <c r="AD28">
        <v>21.73</v>
      </c>
      <c r="AE28">
        <v>394048000</v>
      </c>
      <c r="AF28">
        <v>98.236999999999995</v>
      </c>
      <c r="AG28">
        <v>21.544</v>
      </c>
      <c r="AH28">
        <v>5.8459640000000004</v>
      </c>
      <c r="AI28">
        <v>2.0699999999999998E-3</v>
      </c>
      <c r="AJ28">
        <v>243341983744</v>
      </c>
      <c r="AK28">
        <v>-0.33600000000000002</v>
      </c>
      <c r="AL28">
        <v>2.23</v>
      </c>
      <c r="AM28">
        <v>26.428439999999998</v>
      </c>
      <c r="AN28">
        <v>226297823232</v>
      </c>
    </row>
    <row r="29" spans="1:40" x14ac:dyDescent="0.3">
      <c r="A29" s="1">
        <v>30</v>
      </c>
      <c r="B29" t="s">
        <v>111</v>
      </c>
      <c r="C29" t="s">
        <v>44</v>
      </c>
      <c r="D29">
        <v>0.44464999999999999</v>
      </c>
      <c r="E29">
        <v>0.24787999999999999</v>
      </c>
      <c r="F29">
        <v>0.79957999999999996</v>
      </c>
      <c r="G29">
        <v>10254999552</v>
      </c>
      <c r="H29">
        <v>5.7000000000000002E-2</v>
      </c>
      <c r="I29">
        <v>0.38563999999999998</v>
      </c>
      <c r="J29">
        <v>18407999488</v>
      </c>
      <c r="K29">
        <v>32624000000</v>
      </c>
      <c r="L29">
        <v>9675875328</v>
      </c>
      <c r="M29">
        <v>81.73</v>
      </c>
      <c r="O29">
        <v>1.6459999999999999</v>
      </c>
      <c r="P29">
        <v>9.1999999999999998E-2</v>
      </c>
      <c r="S29">
        <v>22837999616</v>
      </c>
      <c r="T29">
        <v>78431002624</v>
      </c>
      <c r="U29">
        <v>41399001088</v>
      </c>
      <c r="V29">
        <v>8.5519999999999996</v>
      </c>
      <c r="W29" t="s">
        <v>40</v>
      </c>
      <c r="X29">
        <v>14.754</v>
      </c>
      <c r="Y29">
        <v>1.446</v>
      </c>
      <c r="Z29" t="s">
        <v>42</v>
      </c>
      <c r="AA29" t="s">
        <v>112</v>
      </c>
      <c r="AB29">
        <v>6.2880000000000003</v>
      </c>
      <c r="AC29">
        <v>14.141</v>
      </c>
      <c r="AD29">
        <v>5.26</v>
      </c>
      <c r="AE29">
        <v>2670449920</v>
      </c>
      <c r="AF29">
        <v>-3.782</v>
      </c>
      <c r="AG29">
        <v>3.5430000000000001</v>
      </c>
      <c r="AI29">
        <v>0.41914000000000001</v>
      </c>
      <c r="AJ29">
        <v>260298489856</v>
      </c>
      <c r="AL29">
        <v>1.91</v>
      </c>
      <c r="AM29">
        <v>15.538023000000001</v>
      </c>
      <c r="AN29">
        <v>218255884288</v>
      </c>
    </row>
    <row r="30" spans="1:40" x14ac:dyDescent="0.3">
      <c r="A30" s="1">
        <v>31</v>
      </c>
      <c r="B30" t="s">
        <v>114</v>
      </c>
      <c r="C30" t="s">
        <v>113</v>
      </c>
      <c r="D30">
        <v>0.16803999999999999</v>
      </c>
      <c r="E30">
        <v>0.11533</v>
      </c>
      <c r="F30">
        <v>0.32347999999999999</v>
      </c>
      <c r="G30">
        <v>7903174144</v>
      </c>
      <c r="H30">
        <v>0.27200000000000002</v>
      </c>
      <c r="I30">
        <v>0.15195</v>
      </c>
      <c r="J30">
        <v>9030121472</v>
      </c>
      <c r="K30">
        <v>16364128000</v>
      </c>
      <c r="L30">
        <v>6319962112</v>
      </c>
      <c r="M30">
        <v>327.71</v>
      </c>
      <c r="N30">
        <v>0.19700000000000001</v>
      </c>
      <c r="O30">
        <v>1.2230000000000001</v>
      </c>
      <c r="P30">
        <v>0.124560006</v>
      </c>
      <c r="Q30">
        <v>16.606999999999999</v>
      </c>
      <c r="R30">
        <v>0.31947999999999999</v>
      </c>
      <c r="S30">
        <v>5644085248</v>
      </c>
      <c r="T30">
        <v>3477277952</v>
      </c>
      <c r="U30">
        <v>53736357888</v>
      </c>
      <c r="V30">
        <v>8.9309999999999992</v>
      </c>
      <c r="W30" t="s">
        <v>40</v>
      </c>
      <c r="X30">
        <v>84.724999999999994</v>
      </c>
      <c r="Y30">
        <v>1.101</v>
      </c>
      <c r="Z30" t="s">
        <v>42</v>
      </c>
      <c r="AA30" t="s">
        <v>115</v>
      </c>
      <c r="AB30">
        <v>4.1980000000000004</v>
      </c>
      <c r="AC30">
        <v>24.983000000000001</v>
      </c>
      <c r="AD30">
        <v>10.45</v>
      </c>
      <c r="AE30">
        <v>632001024</v>
      </c>
      <c r="AF30">
        <v>32.200000000000003</v>
      </c>
      <c r="AG30">
        <v>9.6129999999999995</v>
      </c>
      <c r="AH30">
        <v>10.177329</v>
      </c>
      <c r="AI30">
        <v>1.23E-3</v>
      </c>
      <c r="AJ30">
        <v>225603960832</v>
      </c>
      <c r="AK30">
        <v>0.19400000000000001</v>
      </c>
      <c r="AL30">
        <v>3.82</v>
      </c>
      <c r="AM30">
        <v>31.359808000000001</v>
      </c>
      <c r="AN30">
        <v>207279521792</v>
      </c>
    </row>
    <row r="31" spans="1:40" x14ac:dyDescent="0.3">
      <c r="A31" s="1">
        <v>32</v>
      </c>
      <c r="B31" t="s">
        <v>117</v>
      </c>
      <c r="C31" t="s">
        <v>116</v>
      </c>
      <c r="D31">
        <v>0.37467</v>
      </c>
      <c r="E31">
        <v>0.16419001</v>
      </c>
      <c r="F31">
        <v>0.58187999999999995</v>
      </c>
      <c r="G31">
        <v>40457998336</v>
      </c>
      <c r="H31">
        <v>4.2999999999999997E-2</v>
      </c>
      <c r="I31">
        <v>0.25285997999999998</v>
      </c>
      <c r="J31">
        <v>50295001088</v>
      </c>
      <c r="K31">
        <v>77091000000</v>
      </c>
      <c r="L31">
        <v>-24466874368</v>
      </c>
      <c r="M31">
        <v>51.28</v>
      </c>
      <c r="N31">
        <v>0.47299999999999998</v>
      </c>
      <c r="O31">
        <v>0.97399999999999998</v>
      </c>
      <c r="P31">
        <v>6.5229999999999996E-2</v>
      </c>
      <c r="Q31">
        <v>228.03800000000001</v>
      </c>
      <c r="R31">
        <v>0.31167</v>
      </c>
      <c r="S31">
        <v>10152999936</v>
      </c>
      <c r="T31">
        <v>178984992768</v>
      </c>
      <c r="U31">
        <v>134238003200</v>
      </c>
      <c r="V31">
        <v>2.452</v>
      </c>
      <c r="W31" t="s">
        <v>40</v>
      </c>
      <c r="X31">
        <v>32.412999999999997</v>
      </c>
      <c r="Y31">
        <v>0.79900000000000004</v>
      </c>
      <c r="Z31" t="s">
        <v>42</v>
      </c>
      <c r="AA31" t="s">
        <v>118</v>
      </c>
      <c r="AB31">
        <v>2.9180000000000001</v>
      </c>
      <c r="AC31">
        <v>7.7869999999999999</v>
      </c>
      <c r="AD31">
        <v>5.4</v>
      </c>
      <c r="AE31">
        <v>4197760000</v>
      </c>
      <c r="AF31">
        <v>18.609000000000002</v>
      </c>
      <c r="AG31">
        <v>5.32</v>
      </c>
      <c r="AH31">
        <v>2.7556560000000001</v>
      </c>
      <c r="AI31">
        <v>1.6000001E-4</v>
      </c>
      <c r="AJ31">
        <v>391651557376</v>
      </c>
      <c r="AK31">
        <v>0.47099999999999997</v>
      </c>
      <c r="AL31">
        <v>2.62</v>
      </c>
      <c r="AM31">
        <v>9.4962959999999992</v>
      </c>
      <c r="AN31">
        <v>215261134848</v>
      </c>
    </row>
    <row r="32" spans="1:40" x14ac:dyDescent="0.3">
      <c r="A32" s="1">
        <v>33</v>
      </c>
      <c r="B32" t="s">
        <v>120</v>
      </c>
      <c r="C32" t="s">
        <v>119</v>
      </c>
      <c r="D32">
        <v>0.13628999999999999</v>
      </c>
      <c r="E32">
        <v>6.9610000000000005E-2</v>
      </c>
      <c r="F32">
        <v>0.74017995999999997</v>
      </c>
      <c r="G32">
        <v>6192000000</v>
      </c>
      <c r="H32">
        <v>0.26600000000000001</v>
      </c>
      <c r="I32">
        <v>3.8870000000000002E-2</v>
      </c>
      <c r="J32">
        <v>3404999936</v>
      </c>
      <c r="K32">
        <v>15814000000</v>
      </c>
      <c r="L32">
        <v>8601624576</v>
      </c>
      <c r="M32">
        <v>211.03</v>
      </c>
      <c r="N32">
        <v>-0.59099999999999997</v>
      </c>
      <c r="O32">
        <v>1.0609999999999999</v>
      </c>
      <c r="P32">
        <v>8.2799999999999992E-3</v>
      </c>
      <c r="Q32">
        <v>25.131</v>
      </c>
      <c r="R32">
        <v>3.5720002000000001E-2</v>
      </c>
      <c r="S32">
        <v>9390999552</v>
      </c>
      <c r="T32">
        <v>14337999872</v>
      </c>
      <c r="U32">
        <v>24982999040</v>
      </c>
      <c r="V32">
        <v>9.5340000000000007</v>
      </c>
      <c r="W32" t="s">
        <v>40</v>
      </c>
      <c r="X32">
        <v>26.634</v>
      </c>
      <c r="Y32">
        <v>0.89200000000000002</v>
      </c>
      <c r="Z32" t="s">
        <v>42</v>
      </c>
      <c r="AA32" t="s">
        <v>121</v>
      </c>
      <c r="AB32">
        <v>8.3949999999999996</v>
      </c>
      <c r="AC32">
        <v>61.594000000000001</v>
      </c>
      <c r="AD32">
        <v>4.71</v>
      </c>
      <c r="AE32">
        <v>985000000</v>
      </c>
      <c r="AF32">
        <v>57.981999999999999</v>
      </c>
      <c r="AG32">
        <v>1.8180000000000001</v>
      </c>
      <c r="AH32">
        <v>3.6395778999999999</v>
      </c>
      <c r="AI32">
        <v>3.4079999999999999E-2</v>
      </c>
      <c r="AJ32">
        <v>209728503808</v>
      </c>
      <c r="AK32">
        <v>-0.56699999999999995</v>
      </c>
      <c r="AL32">
        <v>5.29</v>
      </c>
      <c r="AM32">
        <v>44.804670000000002</v>
      </c>
      <c r="AN32">
        <v>207864545280</v>
      </c>
    </row>
    <row r="33" spans="1:40" x14ac:dyDescent="0.3">
      <c r="A33" s="1">
        <v>34</v>
      </c>
      <c r="B33" t="s">
        <v>122</v>
      </c>
      <c r="C33" t="s">
        <v>98</v>
      </c>
      <c r="D33">
        <v>0.29349999999999998</v>
      </c>
      <c r="E33">
        <v>0.12731000000000001</v>
      </c>
      <c r="F33">
        <v>0.66587996000000005</v>
      </c>
      <c r="G33">
        <v>26499000320</v>
      </c>
      <c r="H33">
        <v>0.187</v>
      </c>
      <c r="I33">
        <v>0.17505999999999999</v>
      </c>
      <c r="J33">
        <v>33387999232</v>
      </c>
      <c r="K33">
        <v>70443000000</v>
      </c>
      <c r="L33">
        <v>10249124864</v>
      </c>
      <c r="M33">
        <v>47.13</v>
      </c>
      <c r="N33">
        <v>0.95499999999999996</v>
      </c>
      <c r="O33">
        <v>1.026</v>
      </c>
      <c r="P33">
        <v>4.5589999999999999E-2</v>
      </c>
      <c r="Q33">
        <v>104.661</v>
      </c>
      <c r="R33">
        <v>0.15312000000000001</v>
      </c>
      <c r="S33">
        <v>11806000128</v>
      </c>
      <c r="T33">
        <v>102385999872</v>
      </c>
      <c r="U33">
        <v>113757003776</v>
      </c>
      <c r="V33">
        <v>2.5840000000000001</v>
      </c>
      <c r="W33" t="s">
        <v>40</v>
      </c>
      <c r="X33">
        <v>24.780999999999999</v>
      </c>
      <c r="Y33">
        <v>0.88900000000000001</v>
      </c>
      <c r="Z33" t="s">
        <v>42</v>
      </c>
      <c r="AA33" t="s">
        <v>123</v>
      </c>
      <c r="AB33">
        <v>2.8679999999999999</v>
      </c>
      <c r="AC33">
        <v>9.7720000000000002</v>
      </c>
      <c r="AD33">
        <v>3.69</v>
      </c>
      <c r="AE33">
        <v>4559479808</v>
      </c>
      <c r="AF33">
        <v>20.963999999999999</v>
      </c>
      <c r="AG33">
        <v>3.109</v>
      </c>
      <c r="AH33">
        <v>2.2481396</v>
      </c>
      <c r="AI33">
        <v>6.7600000000000004E-3</v>
      </c>
      <c r="AJ33">
        <v>326278709248</v>
      </c>
      <c r="AK33">
        <v>0.999</v>
      </c>
      <c r="AL33">
        <v>0.87</v>
      </c>
      <c r="AM33">
        <v>12.772358000000001</v>
      </c>
      <c r="AN33">
        <v>215333208064</v>
      </c>
    </row>
    <row r="34" spans="1:40" x14ac:dyDescent="0.3">
      <c r="A34" s="1">
        <v>35</v>
      </c>
      <c r="B34" t="s">
        <v>124</v>
      </c>
      <c r="C34" t="s">
        <v>57</v>
      </c>
      <c r="D34">
        <v>0.42865002000000002</v>
      </c>
      <c r="E34">
        <v>0.25141999999999998</v>
      </c>
      <c r="F34">
        <v>0.55445</v>
      </c>
      <c r="G34">
        <v>29991000064</v>
      </c>
      <c r="H34">
        <v>2.8000000000000001E-2</v>
      </c>
      <c r="I34">
        <v>0.27943000000000001</v>
      </c>
      <c r="J34">
        <v>33873999872</v>
      </c>
      <c r="K34">
        <v>43815000000</v>
      </c>
      <c r="L34">
        <v>1480125056</v>
      </c>
      <c r="M34">
        <v>51.83</v>
      </c>
      <c r="N34">
        <v>-0.20899999999999999</v>
      </c>
      <c r="O34">
        <v>2.1019999999999999</v>
      </c>
      <c r="P34">
        <v>8.586001E-2</v>
      </c>
      <c r="Q34">
        <v>40.508000000000003</v>
      </c>
      <c r="R34">
        <v>0.22522</v>
      </c>
      <c r="S34">
        <v>28412999680</v>
      </c>
      <c r="T34">
        <v>38641000448</v>
      </c>
      <c r="U34">
        <v>79023996928</v>
      </c>
      <c r="V34">
        <v>6.9779999999999998</v>
      </c>
      <c r="W34" t="s">
        <v>40</v>
      </c>
      <c r="X34">
        <v>19.469000000000001</v>
      </c>
      <c r="Y34">
        <v>1.38</v>
      </c>
      <c r="Z34" t="s">
        <v>42</v>
      </c>
      <c r="AA34" t="s">
        <v>125</v>
      </c>
      <c r="AB34">
        <v>2.5840000000000001</v>
      </c>
      <c r="AC34">
        <v>6.0279999999999996</v>
      </c>
      <c r="AD34">
        <v>3.7</v>
      </c>
      <c r="AE34">
        <v>4067000064</v>
      </c>
      <c r="AF34">
        <v>22.151</v>
      </c>
      <c r="AG34">
        <v>5.1580000000000004</v>
      </c>
      <c r="AH34">
        <v>2.3398495000000001</v>
      </c>
      <c r="AI34">
        <v>6.9999999999999999E-4</v>
      </c>
      <c r="AJ34">
        <v>204177358848</v>
      </c>
      <c r="AK34">
        <v>-0.21099999999999999</v>
      </c>
      <c r="AL34">
        <v>3.18</v>
      </c>
      <c r="AM34">
        <v>14.008108</v>
      </c>
      <c r="AN34">
        <v>210792628224</v>
      </c>
    </row>
    <row r="35" spans="1:40" x14ac:dyDescent="0.3">
      <c r="A35" s="1">
        <v>36</v>
      </c>
      <c r="B35" t="s">
        <v>127</v>
      </c>
      <c r="C35" t="s">
        <v>126</v>
      </c>
      <c r="D35">
        <v>0.29228999999999999</v>
      </c>
      <c r="E35">
        <v>0.17122000000000001</v>
      </c>
      <c r="F35">
        <v>0.56850000000000001</v>
      </c>
      <c r="G35">
        <v>11264000000</v>
      </c>
      <c r="H35">
        <v>0.23400000000000001</v>
      </c>
      <c r="I35">
        <v>0.20906</v>
      </c>
      <c r="J35">
        <v>12366000128</v>
      </c>
      <c r="K35">
        <v>19611000000</v>
      </c>
      <c r="L35">
        <v>8126875136</v>
      </c>
      <c r="M35">
        <v>118.95</v>
      </c>
      <c r="N35">
        <v>0.69599999999999995</v>
      </c>
      <c r="O35">
        <v>1.8260000000000001</v>
      </c>
      <c r="P35">
        <v>7.7399999999999997E-2</v>
      </c>
      <c r="Q35">
        <v>53.112000000000002</v>
      </c>
      <c r="R35">
        <v>0.21862000000000001</v>
      </c>
      <c r="S35">
        <v>9692000256</v>
      </c>
      <c r="T35">
        <v>18396999680</v>
      </c>
      <c r="U35">
        <v>42308001792</v>
      </c>
      <c r="V35">
        <v>5.4809999999999999</v>
      </c>
      <c r="W35" t="s">
        <v>40</v>
      </c>
      <c r="X35">
        <v>23.815000000000001</v>
      </c>
      <c r="Y35">
        <v>1.2509999999999999</v>
      </c>
      <c r="Z35" t="s">
        <v>42</v>
      </c>
      <c r="AA35" t="s">
        <v>128</v>
      </c>
      <c r="AB35">
        <v>5.8849999999999998</v>
      </c>
      <c r="AC35">
        <v>20.135999999999999</v>
      </c>
      <c r="AD35">
        <v>4.76</v>
      </c>
      <c r="AE35">
        <v>1768290048</v>
      </c>
      <c r="AF35">
        <v>19.466000000000001</v>
      </c>
      <c r="AG35">
        <v>4.03</v>
      </c>
      <c r="AH35">
        <v>6.1106543999999996</v>
      </c>
      <c r="AI35">
        <v>7.28E-3</v>
      </c>
      <c r="AJ35">
        <v>249001328640</v>
      </c>
      <c r="AK35">
        <v>0.70499999999999996</v>
      </c>
      <c r="AL35">
        <v>2.0299999999999998</v>
      </c>
      <c r="AM35">
        <v>24.989494000000001</v>
      </c>
      <c r="AN35">
        <v>210338103296</v>
      </c>
    </row>
    <row r="36" spans="1:40" x14ac:dyDescent="0.3">
      <c r="A36" s="1">
        <v>37</v>
      </c>
      <c r="B36" t="s">
        <v>130</v>
      </c>
      <c r="C36" t="s">
        <v>129</v>
      </c>
      <c r="D36">
        <v>0.17238001999999999</v>
      </c>
      <c r="E36">
        <v>0.13322000000000001</v>
      </c>
      <c r="F36">
        <v>0.45981</v>
      </c>
      <c r="G36">
        <v>7169999872</v>
      </c>
      <c r="H36">
        <v>0.01</v>
      </c>
      <c r="I36">
        <v>0.15739</v>
      </c>
      <c r="J36">
        <v>7982000128</v>
      </c>
      <c r="K36">
        <v>20001000000</v>
      </c>
      <c r="L36">
        <v>4678624768</v>
      </c>
      <c r="M36">
        <v>133.69999999999999</v>
      </c>
      <c r="N36">
        <v>6.4000000000000001E-2</v>
      </c>
      <c r="O36">
        <v>3.0680000000000001</v>
      </c>
      <c r="P36">
        <v>0.12352</v>
      </c>
      <c r="Q36">
        <v>85.251999999999995</v>
      </c>
      <c r="R36">
        <v>0.48263</v>
      </c>
      <c r="S36">
        <v>15102999552</v>
      </c>
      <c r="T36">
        <v>12723000320</v>
      </c>
      <c r="U36">
        <v>46306000896</v>
      </c>
      <c r="V36">
        <v>9.5510000000000002</v>
      </c>
      <c r="W36" t="s">
        <v>40</v>
      </c>
      <c r="X36">
        <v>29.3</v>
      </c>
      <c r="Y36">
        <v>2.1280000000000001</v>
      </c>
      <c r="Z36" t="s">
        <v>42</v>
      </c>
      <c r="AA36" t="s">
        <v>131</v>
      </c>
      <c r="AB36">
        <v>4.7359999999999998</v>
      </c>
      <c r="AC36">
        <v>27.472999999999999</v>
      </c>
      <c r="AD36">
        <v>4.82</v>
      </c>
      <c r="AE36">
        <v>1277810048</v>
      </c>
      <c r="AF36">
        <v>9.4309999999999992</v>
      </c>
      <c r="AG36">
        <v>3.81</v>
      </c>
      <c r="AH36">
        <v>14.176652000000001</v>
      </c>
      <c r="AI36">
        <v>1.2209998999999999E-2</v>
      </c>
      <c r="AJ36">
        <v>219285979136</v>
      </c>
      <c r="AK36">
        <v>6.9000000000000006E-2</v>
      </c>
      <c r="AL36">
        <v>2.89</v>
      </c>
      <c r="AM36">
        <v>27.738588</v>
      </c>
      <c r="AN36">
        <v>211623018496</v>
      </c>
    </row>
    <row r="37" spans="1:40" x14ac:dyDescent="0.3">
      <c r="A37" s="1">
        <v>38</v>
      </c>
      <c r="B37" t="s">
        <v>132</v>
      </c>
      <c r="C37" t="s">
        <v>108</v>
      </c>
      <c r="D37">
        <v>0.35092997999999997</v>
      </c>
      <c r="E37">
        <v>0.21840999999999999</v>
      </c>
      <c r="F37">
        <v>0.61304002999999996</v>
      </c>
      <c r="G37">
        <v>8358000128</v>
      </c>
      <c r="H37">
        <v>0.20499999999999999</v>
      </c>
      <c r="I37">
        <v>0.27732000000000001</v>
      </c>
      <c r="J37">
        <v>10336000000</v>
      </c>
      <c r="K37">
        <v>18056000000</v>
      </c>
      <c r="L37">
        <v>5476250112</v>
      </c>
      <c r="M37">
        <v>287.52999999999997</v>
      </c>
      <c r="N37">
        <v>0.44400000000000001</v>
      </c>
      <c r="O37">
        <v>1.431</v>
      </c>
      <c r="P37">
        <v>6.4070000000000002E-2</v>
      </c>
      <c r="Q37">
        <v>51.512999999999998</v>
      </c>
      <c r="R37">
        <v>0.14942000999999999</v>
      </c>
      <c r="S37">
        <v>2585999872</v>
      </c>
      <c r="T37">
        <v>23271999488</v>
      </c>
      <c r="U37">
        <v>29453000704</v>
      </c>
      <c r="V37">
        <v>3.6150000000000002</v>
      </c>
      <c r="W37" t="s">
        <v>40</v>
      </c>
      <c r="X37">
        <v>41.216000000000001</v>
      </c>
      <c r="Y37">
        <v>0.88700000000000001</v>
      </c>
      <c r="Z37" t="s">
        <v>42</v>
      </c>
      <c r="AA37" t="s">
        <v>133</v>
      </c>
      <c r="AB37">
        <v>7.202</v>
      </c>
      <c r="AC37">
        <v>20.521999999999998</v>
      </c>
      <c r="AD37">
        <v>10.14</v>
      </c>
      <c r="AE37">
        <v>714577024</v>
      </c>
      <c r="AF37">
        <v>56.238999999999997</v>
      </c>
      <c r="AG37">
        <v>7.8819999999999997</v>
      </c>
      <c r="AH37">
        <v>5.1126440000000004</v>
      </c>
      <c r="AI37">
        <v>0.111379996</v>
      </c>
      <c r="AJ37">
        <v>212116029440</v>
      </c>
      <c r="AK37">
        <v>0.441</v>
      </c>
      <c r="AL37">
        <v>1.46</v>
      </c>
      <c r="AM37">
        <v>28.356013999999998</v>
      </c>
      <c r="AN37">
        <v>205462323200</v>
      </c>
    </row>
    <row r="38" spans="1:40" x14ac:dyDescent="0.3">
      <c r="A38" s="1">
        <v>39</v>
      </c>
      <c r="B38" t="s">
        <v>134</v>
      </c>
      <c r="C38" t="s">
        <v>44</v>
      </c>
      <c r="D38">
        <v>0.41681000000000001</v>
      </c>
      <c r="E38">
        <v>0.30547999999999997</v>
      </c>
      <c r="F38">
        <v>0.88185000000000002</v>
      </c>
      <c r="H38">
        <v>0.2</v>
      </c>
      <c r="I38">
        <v>0.36756</v>
      </c>
      <c r="J38">
        <v>6579333120</v>
      </c>
      <c r="K38">
        <v>13920000000</v>
      </c>
      <c r="M38">
        <v>431.62</v>
      </c>
      <c r="N38">
        <v>-0.44500000000000001</v>
      </c>
      <c r="O38">
        <v>1.248</v>
      </c>
      <c r="P38">
        <v>0.14076</v>
      </c>
      <c r="Q38">
        <v>31.581</v>
      </c>
      <c r="R38">
        <v>0.34367999999999999</v>
      </c>
      <c r="S38">
        <v>5798000128</v>
      </c>
      <c r="T38">
        <v>4672999936</v>
      </c>
      <c r="U38">
        <v>15784999936</v>
      </c>
      <c r="V38">
        <v>12.180999999999999</v>
      </c>
      <c r="W38" t="s">
        <v>40</v>
      </c>
      <c r="X38">
        <v>33.091999999999999</v>
      </c>
      <c r="Y38">
        <v>1.107</v>
      </c>
      <c r="Z38" t="s">
        <v>42</v>
      </c>
      <c r="AA38" t="s">
        <v>135</v>
      </c>
      <c r="AB38">
        <v>15.907999999999999</v>
      </c>
      <c r="AC38">
        <v>38.164999999999999</v>
      </c>
      <c r="AD38">
        <v>16.25</v>
      </c>
      <c r="AE38">
        <v>475800000</v>
      </c>
      <c r="AF38">
        <v>31.085999999999999</v>
      </c>
      <c r="AG38">
        <v>10.02</v>
      </c>
      <c r="AH38">
        <v>13.8847065</v>
      </c>
      <c r="AI38">
        <v>3.1199999999999999E-3</v>
      </c>
      <c r="AJ38">
        <v>251102642176</v>
      </c>
      <c r="AK38">
        <v>-0.45200000000000001</v>
      </c>
      <c r="AL38">
        <v>2.62</v>
      </c>
      <c r="AM38">
        <v>26.561229999999998</v>
      </c>
      <c r="AN38">
        <v>205364789248</v>
      </c>
    </row>
    <row r="39" spans="1:40" x14ac:dyDescent="0.3">
      <c r="A39" s="1">
        <v>40</v>
      </c>
      <c r="B39" t="s">
        <v>136</v>
      </c>
      <c r="C39" t="s">
        <v>68</v>
      </c>
      <c r="D39">
        <v>0.40027002</v>
      </c>
      <c r="E39">
        <v>0.13680999999999999</v>
      </c>
      <c r="F39">
        <v>0.72668999999999995</v>
      </c>
      <c r="G39">
        <v>13084000256</v>
      </c>
      <c r="H39">
        <v>0.20399999999999999</v>
      </c>
      <c r="I39">
        <v>0.33821000000000001</v>
      </c>
      <c r="J39">
        <v>21056999424</v>
      </c>
      <c r="K39">
        <v>34572000000</v>
      </c>
      <c r="L39">
        <v>9870499840</v>
      </c>
      <c r="M39">
        <v>81.34</v>
      </c>
      <c r="N39">
        <v>0.54800000000000004</v>
      </c>
      <c r="O39">
        <v>1.3089999999999999</v>
      </c>
      <c r="P39">
        <v>0.12132999999999999</v>
      </c>
      <c r="Q39">
        <v>73.727999999999994</v>
      </c>
      <c r="R39">
        <v>0.26035999999999998</v>
      </c>
      <c r="S39">
        <v>10042000384</v>
      </c>
      <c r="T39">
        <v>26441000960</v>
      </c>
      <c r="U39">
        <v>52607000576</v>
      </c>
      <c r="V39">
        <v>3.976</v>
      </c>
      <c r="W39" t="s">
        <v>40</v>
      </c>
      <c r="X39">
        <v>20.786999999999999</v>
      </c>
      <c r="Y39">
        <v>0.86899999999999999</v>
      </c>
      <c r="Z39" t="s">
        <v>42</v>
      </c>
      <c r="AA39" t="s">
        <v>137</v>
      </c>
      <c r="AB39">
        <v>4.0110000000000001</v>
      </c>
      <c r="AC39">
        <v>10.02</v>
      </c>
      <c r="AD39">
        <v>7.2</v>
      </c>
      <c r="AE39">
        <v>2525939968</v>
      </c>
      <c r="AF39">
        <v>14.173999999999999</v>
      </c>
      <c r="AG39">
        <v>2.8340000000000001</v>
      </c>
      <c r="AH39">
        <v>5.7386759999999999</v>
      </c>
      <c r="AI39">
        <v>7.2999996999999997E-4</v>
      </c>
      <c r="AJ39">
        <v>210990940160</v>
      </c>
      <c r="AK39">
        <v>0.55300000000000005</v>
      </c>
      <c r="AL39">
        <v>0.87</v>
      </c>
      <c r="AM39">
        <v>11.297222</v>
      </c>
      <c r="AN39">
        <v>205459947520</v>
      </c>
    </row>
    <row r="40" spans="1:40" x14ac:dyDescent="0.3">
      <c r="A40" s="1">
        <v>42</v>
      </c>
      <c r="B40" t="s">
        <v>139</v>
      </c>
      <c r="C40" t="s">
        <v>138</v>
      </c>
      <c r="D40">
        <v>0.11517999</v>
      </c>
      <c r="E40">
        <v>6.8320000000000006E-2</v>
      </c>
      <c r="F40">
        <v>0.19872000000000001</v>
      </c>
      <c r="G40">
        <v>12936999936</v>
      </c>
      <c r="H40">
        <v>9.1999999999999998E-2</v>
      </c>
      <c r="I40">
        <v>8.4339999999999998E-2</v>
      </c>
      <c r="J40">
        <v>10874000384</v>
      </c>
      <c r="K40">
        <v>11490000000</v>
      </c>
      <c r="L40">
        <v>3207875072</v>
      </c>
      <c r="M40">
        <v>215.35</v>
      </c>
      <c r="N40">
        <v>0.183</v>
      </c>
      <c r="O40">
        <v>1.476</v>
      </c>
      <c r="P40">
        <v>7.7679999999999999E-2</v>
      </c>
      <c r="Q40">
        <v>212.38300000000001</v>
      </c>
      <c r="R40">
        <v>0.73033994000000002</v>
      </c>
      <c r="S40">
        <v>10560000000</v>
      </c>
      <c r="T40">
        <v>25607000064</v>
      </c>
      <c r="U40">
        <v>94411997184</v>
      </c>
      <c r="V40">
        <v>12.15</v>
      </c>
      <c r="W40" t="s">
        <v>40</v>
      </c>
      <c r="X40">
        <v>108.14700000000001</v>
      </c>
      <c r="Y40">
        <v>1.381</v>
      </c>
      <c r="Z40" t="s">
        <v>42</v>
      </c>
      <c r="AA40" t="s">
        <v>140</v>
      </c>
      <c r="AB40">
        <v>2.16</v>
      </c>
      <c r="AC40">
        <v>18.753</v>
      </c>
      <c r="AD40">
        <v>12.1</v>
      </c>
      <c r="AE40">
        <v>729158016</v>
      </c>
      <c r="AF40">
        <v>13.856</v>
      </c>
      <c r="AG40">
        <v>7.3550000000000004</v>
      </c>
      <c r="AH40">
        <v>15.542004</v>
      </c>
      <c r="AI40">
        <v>6.9999999999999994E-5</v>
      </c>
      <c r="AJ40">
        <v>203918901248</v>
      </c>
      <c r="AK40">
        <v>0.19</v>
      </c>
      <c r="AL40">
        <v>1.07</v>
      </c>
      <c r="AM40">
        <v>17.797519999999999</v>
      </c>
      <c r="AN40">
        <v>187169734656</v>
      </c>
    </row>
    <row r="41" spans="1:40" x14ac:dyDescent="0.3">
      <c r="A41" s="1">
        <v>43</v>
      </c>
      <c r="B41" t="s">
        <v>142</v>
      </c>
      <c r="C41" t="s">
        <v>141</v>
      </c>
      <c r="D41">
        <v>0.50558996</v>
      </c>
      <c r="E41">
        <v>0.32490003000000001</v>
      </c>
      <c r="F41">
        <v>0.54172003000000002</v>
      </c>
      <c r="G41">
        <v>9141499904</v>
      </c>
      <c r="H41">
        <v>0.13100000000000001</v>
      </c>
      <c r="I41">
        <v>0.42514999999999997</v>
      </c>
      <c r="J41">
        <v>11741200384</v>
      </c>
      <c r="K41">
        <v>12580200000</v>
      </c>
      <c r="L41">
        <v>5830362624</v>
      </c>
      <c r="M41">
        <v>241.58</v>
      </c>
      <c r="N41">
        <v>0.189</v>
      </c>
      <c r="O41">
        <v>1.778</v>
      </c>
      <c r="P41">
        <v>0.1159</v>
      </c>
      <c r="S41">
        <v>4709499904</v>
      </c>
      <c r="T41">
        <v>49353199616</v>
      </c>
      <c r="U41">
        <v>23222900736</v>
      </c>
      <c r="V41">
        <v>6.3339999999999996</v>
      </c>
      <c r="W41" t="s">
        <v>40</v>
      </c>
      <c r="X41">
        <v>31.117000000000001</v>
      </c>
      <c r="Y41">
        <v>1.72</v>
      </c>
      <c r="Z41" t="s">
        <v>42</v>
      </c>
      <c r="AA41" t="s">
        <v>143</v>
      </c>
      <c r="AB41">
        <v>9.1050000000000004</v>
      </c>
      <c r="AC41">
        <v>18.009</v>
      </c>
      <c r="AD41">
        <v>10.14</v>
      </c>
      <c r="AE41">
        <v>747244992</v>
      </c>
      <c r="AF41">
        <v>-7.5949999999999998</v>
      </c>
      <c r="AG41">
        <v>9.6999999999999993</v>
      </c>
      <c r="AI41">
        <v>5.4000003999999996E-4</v>
      </c>
      <c r="AJ41">
        <v>211452067840</v>
      </c>
      <c r="AK41">
        <v>0.19</v>
      </c>
      <c r="AL41">
        <v>1.32</v>
      </c>
      <c r="AM41">
        <v>23.824456999999999</v>
      </c>
      <c r="AN41">
        <v>180519452672</v>
      </c>
    </row>
    <row r="42" spans="1:40" x14ac:dyDescent="0.3">
      <c r="A42" s="1">
        <v>44</v>
      </c>
      <c r="B42" t="s">
        <v>144</v>
      </c>
      <c r="C42" t="s">
        <v>57</v>
      </c>
      <c r="D42">
        <v>0.35383999999999999</v>
      </c>
      <c r="E42">
        <v>0.27714001999999999</v>
      </c>
      <c r="F42">
        <v>0.58164000000000005</v>
      </c>
      <c r="G42">
        <v>9418000384</v>
      </c>
      <c r="H42">
        <v>0.3</v>
      </c>
      <c r="I42">
        <v>0.30876999999999999</v>
      </c>
      <c r="J42">
        <v>12750999552</v>
      </c>
      <c r="K42">
        <v>19304000000</v>
      </c>
      <c r="L42">
        <v>8092250112</v>
      </c>
      <c r="M42">
        <v>157.97</v>
      </c>
      <c r="N42">
        <v>0.40600000000000003</v>
      </c>
      <c r="O42">
        <v>1.6479999999999999</v>
      </c>
      <c r="P42">
        <v>0.17321</v>
      </c>
      <c r="Q42">
        <v>138.97499999999999</v>
      </c>
      <c r="R42">
        <v>1.0673900000000001</v>
      </c>
      <c r="S42">
        <v>11310000128</v>
      </c>
      <c r="T42">
        <v>15749999616</v>
      </c>
      <c r="U42">
        <v>36036001792</v>
      </c>
      <c r="V42">
        <v>10.035</v>
      </c>
      <c r="W42" t="s">
        <v>40</v>
      </c>
      <c r="X42">
        <v>31.933</v>
      </c>
      <c r="Y42">
        <v>1.25</v>
      </c>
      <c r="Z42" t="s">
        <v>42</v>
      </c>
      <c r="AA42" t="s">
        <v>145</v>
      </c>
      <c r="AB42">
        <v>4.8170000000000002</v>
      </c>
      <c r="AC42">
        <v>13.615</v>
      </c>
      <c r="AD42">
        <v>11.64</v>
      </c>
      <c r="AE42">
        <v>1120000000</v>
      </c>
      <c r="AF42">
        <v>8.8439999999999994</v>
      </c>
      <c r="AG42">
        <v>7.87</v>
      </c>
      <c r="AH42">
        <v>17.861827999999999</v>
      </c>
      <c r="AI42">
        <v>1.5399999999999999E-3</v>
      </c>
      <c r="AJ42">
        <v>173602701312</v>
      </c>
      <c r="AK42">
        <v>0.38500000000000001</v>
      </c>
      <c r="AL42">
        <v>0.68</v>
      </c>
      <c r="AM42">
        <v>13.571305000000001</v>
      </c>
      <c r="AN42">
        <v>176926408704</v>
      </c>
    </row>
    <row r="43" spans="1:40" x14ac:dyDescent="0.3">
      <c r="A43" s="1">
        <v>45</v>
      </c>
      <c r="B43" t="s">
        <v>147</v>
      </c>
      <c r="C43" t="s">
        <v>146</v>
      </c>
      <c r="D43">
        <v>0.53068000000000004</v>
      </c>
      <c r="E43">
        <v>0.29915999999999998</v>
      </c>
      <c r="F43">
        <v>0.58462000000000003</v>
      </c>
      <c r="G43">
        <v>9031999488</v>
      </c>
      <c r="H43">
        <v>0.115</v>
      </c>
      <c r="I43">
        <v>0.42942002000000001</v>
      </c>
      <c r="J43">
        <v>11571000320</v>
      </c>
      <c r="K43">
        <v>12747000000</v>
      </c>
      <c r="L43">
        <v>4763749888</v>
      </c>
      <c r="M43">
        <v>273.38</v>
      </c>
      <c r="N43">
        <v>0.29899999999999999</v>
      </c>
      <c r="O43">
        <v>0.61799999999999999</v>
      </c>
      <c r="P43">
        <v>9.2939994999999997E-2</v>
      </c>
      <c r="Q43">
        <v>222.357</v>
      </c>
      <c r="R43">
        <v>0.41922999999999999</v>
      </c>
      <c r="S43">
        <v>1006000000</v>
      </c>
      <c r="T43">
        <v>31488000000</v>
      </c>
      <c r="U43">
        <v>21803999232</v>
      </c>
      <c r="V43">
        <v>1.58</v>
      </c>
      <c r="W43" t="s">
        <v>40</v>
      </c>
      <c r="X43">
        <v>33.35</v>
      </c>
      <c r="Y43">
        <v>0.47499999999999998</v>
      </c>
      <c r="Z43" t="s">
        <v>42</v>
      </c>
      <c r="AA43" t="s">
        <v>148</v>
      </c>
      <c r="AB43">
        <v>8.4689999999999994</v>
      </c>
      <c r="AC43">
        <v>15.96</v>
      </c>
      <c r="AD43">
        <v>11.38</v>
      </c>
      <c r="AE43">
        <v>642876032</v>
      </c>
      <c r="AF43">
        <v>21.597000000000001</v>
      </c>
      <c r="AG43">
        <v>9.3350000000000009</v>
      </c>
      <c r="AH43">
        <v>12.658239</v>
      </c>
      <c r="AI43">
        <v>2.3E-3</v>
      </c>
      <c r="AJ43">
        <v>184668864512</v>
      </c>
      <c r="AK43">
        <v>0.24</v>
      </c>
      <c r="AL43">
        <v>1.52</v>
      </c>
      <c r="AM43">
        <v>24.022848</v>
      </c>
      <c r="AN43">
        <v>175749447680</v>
      </c>
    </row>
    <row r="44" spans="1:40" x14ac:dyDescent="0.3">
      <c r="A44" s="1">
        <v>47</v>
      </c>
      <c r="B44" t="s">
        <v>149</v>
      </c>
      <c r="C44" t="s">
        <v>57</v>
      </c>
      <c r="D44">
        <v>0.54071999999999998</v>
      </c>
      <c r="E44">
        <v>0.42352000000000001</v>
      </c>
      <c r="F44">
        <v>0.67466000000000004</v>
      </c>
      <c r="G44">
        <v>8755999744</v>
      </c>
      <c r="H44">
        <v>0.185</v>
      </c>
      <c r="I44">
        <v>0.49181997999999999</v>
      </c>
      <c r="J44">
        <v>9918999552</v>
      </c>
      <c r="K44">
        <v>12376000000</v>
      </c>
      <c r="L44">
        <v>4189750016</v>
      </c>
      <c r="M44">
        <v>184.9</v>
      </c>
      <c r="N44">
        <v>0.26</v>
      </c>
      <c r="O44">
        <v>5.327</v>
      </c>
      <c r="P44">
        <v>0.25614999999999999</v>
      </c>
      <c r="Q44">
        <v>61.546999999999997</v>
      </c>
      <c r="R44">
        <v>0.68996000000000002</v>
      </c>
      <c r="S44">
        <v>9738999808</v>
      </c>
      <c r="T44">
        <v>8206000128</v>
      </c>
      <c r="U44">
        <v>18343999488</v>
      </c>
      <c r="V44">
        <v>10.545</v>
      </c>
      <c r="W44" t="s">
        <v>40</v>
      </c>
      <c r="X44">
        <v>19.873999999999999</v>
      </c>
      <c r="Y44">
        <v>4.4530000000000003</v>
      </c>
      <c r="Z44" t="s">
        <v>42</v>
      </c>
      <c r="AA44" t="s">
        <v>150</v>
      </c>
      <c r="AB44">
        <v>8.4740000000000002</v>
      </c>
      <c r="AC44">
        <v>15.672000000000001</v>
      </c>
      <c r="AD44">
        <v>8.23</v>
      </c>
      <c r="AE44">
        <v>923526016</v>
      </c>
      <c r="AF44">
        <v>13.159000000000001</v>
      </c>
      <c r="AG44">
        <v>7.7880000000000003</v>
      </c>
      <c r="AH44">
        <v>14.051219</v>
      </c>
      <c r="AI44">
        <v>1.9200001000000001E-3</v>
      </c>
      <c r="AJ44">
        <v>155451523072</v>
      </c>
      <c r="AK44">
        <v>0.26700000000000002</v>
      </c>
      <c r="AL44">
        <v>2.41</v>
      </c>
      <c r="AM44">
        <v>22.466587000000001</v>
      </c>
      <c r="AN44">
        <v>170759962624</v>
      </c>
    </row>
    <row r="45" spans="1:40" x14ac:dyDescent="0.3">
      <c r="A45" s="1">
        <v>48</v>
      </c>
      <c r="B45" t="s">
        <v>151</v>
      </c>
      <c r="C45" t="s">
        <v>116</v>
      </c>
      <c r="D45">
        <v>0.30547999999999997</v>
      </c>
      <c r="E45">
        <v>6.6500003000000002E-3</v>
      </c>
      <c r="F45">
        <v>0.52233004999999999</v>
      </c>
      <c r="G45">
        <v>40784998400</v>
      </c>
      <c r="H45">
        <v>-5.7000000000000002E-2</v>
      </c>
      <c r="I45">
        <v>0.18632000000000001</v>
      </c>
      <c r="J45">
        <v>53029998592</v>
      </c>
      <c r="K45">
        <v>91840000000</v>
      </c>
      <c r="L45">
        <v>41733750784</v>
      </c>
      <c r="M45">
        <v>23.84</v>
      </c>
      <c r="N45">
        <v>1.1140000000000001</v>
      </c>
      <c r="O45">
        <v>0.70099999999999996</v>
      </c>
      <c r="P45">
        <v>3.7240000000000002E-2</v>
      </c>
      <c r="Q45">
        <v>115.572</v>
      </c>
      <c r="R45">
        <v>1.3679999999999999E-2</v>
      </c>
      <c r="S45">
        <v>21334999040</v>
      </c>
      <c r="T45">
        <v>209535991808</v>
      </c>
      <c r="U45">
        <v>173596999680</v>
      </c>
      <c r="V45">
        <v>2.988</v>
      </c>
      <c r="W45" t="s">
        <v>40</v>
      </c>
      <c r="X45">
        <v>24.238</v>
      </c>
      <c r="Y45">
        <v>0.51100000000000001</v>
      </c>
      <c r="Z45" t="s">
        <v>42</v>
      </c>
      <c r="AA45" t="s">
        <v>152</v>
      </c>
      <c r="AB45">
        <v>2.2629999999999999</v>
      </c>
      <c r="AC45">
        <v>7.4089999999999998</v>
      </c>
      <c r="AD45">
        <v>3.21</v>
      </c>
      <c r="AE45">
        <v>7141000192</v>
      </c>
      <c r="AF45">
        <v>22.937000000000001</v>
      </c>
      <c r="AG45">
        <v>0.129</v>
      </c>
      <c r="AH45">
        <v>1.0393687</v>
      </c>
      <c r="AI45">
        <v>9.3000004E-4</v>
      </c>
      <c r="AJ45">
        <v>392898609152</v>
      </c>
      <c r="AK45">
        <v>1.1020000000000001</v>
      </c>
      <c r="AL45">
        <v>2.17</v>
      </c>
      <c r="AM45">
        <v>7.4267909999999997</v>
      </c>
      <c r="AN45">
        <v>170241441792</v>
      </c>
    </row>
    <row r="46" spans="1:40" x14ac:dyDescent="0.3">
      <c r="A46" s="1">
        <v>49</v>
      </c>
      <c r="B46" t="s">
        <v>153</v>
      </c>
      <c r="C46" t="s">
        <v>98</v>
      </c>
      <c r="D46">
        <v>0.23376</v>
      </c>
      <c r="E46">
        <v>0.17639999000000001</v>
      </c>
      <c r="F46">
        <v>0.43218000000000001</v>
      </c>
      <c r="G46">
        <v>658211968</v>
      </c>
      <c r="H46">
        <v>0.16300000000000001</v>
      </c>
      <c r="I46">
        <v>0.22760000999999999</v>
      </c>
      <c r="J46">
        <v>6693351936</v>
      </c>
      <c r="K46">
        <v>9719737000</v>
      </c>
      <c r="L46">
        <v>14542671872</v>
      </c>
      <c r="M46">
        <v>373.85</v>
      </c>
      <c r="N46">
        <v>0.83299999999999996</v>
      </c>
      <c r="O46">
        <v>1.17</v>
      </c>
      <c r="P46">
        <v>0.10012</v>
      </c>
      <c r="Q46">
        <v>117.578</v>
      </c>
      <c r="R46">
        <v>0.39387</v>
      </c>
      <c r="S46">
        <v>7526681088</v>
      </c>
      <c r="T46">
        <v>18006607872</v>
      </c>
      <c r="U46">
        <v>28632967168</v>
      </c>
      <c r="V46">
        <v>16.992000000000001</v>
      </c>
      <c r="W46" t="s">
        <v>40</v>
      </c>
      <c r="X46">
        <v>64.656999999999996</v>
      </c>
      <c r="Y46">
        <v>1.032</v>
      </c>
      <c r="Z46" t="s">
        <v>42</v>
      </c>
      <c r="AA46" t="s">
        <v>154</v>
      </c>
      <c r="AB46">
        <v>9.5109999999999992</v>
      </c>
      <c r="AC46">
        <v>40.686999999999998</v>
      </c>
      <c r="AD46">
        <v>13.09</v>
      </c>
      <c r="AE46">
        <v>442952000</v>
      </c>
      <c r="AF46">
        <v>34.573999999999998</v>
      </c>
      <c r="AG46">
        <v>11.090999999999999</v>
      </c>
      <c r="AH46">
        <v>10.813039</v>
      </c>
      <c r="AI46">
        <v>1.4970000000000001E-2</v>
      </c>
      <c r="AJ46">
        <v>272331112448</v>
      </c>
      <c r="AK46">
        <v>0.83399999999999996</v>
      </c>
      <c r="AL46">
        <v>1.29</v>
      </c>
      <c r="AM46">
        <v>28.559968999999999</v>
      </c>
      <c r="AN46">
        <v>165597609984</v>
      </c>
    </row>
    <row r="47" spans="1:40" x14ac:dyDescent="0.3">
      <c r="A47" s="1">
        <v>51</v>
      </c>
      <c r="B47" t="s">
        <v>156</v>
      </c>
      <c r="C47" t="s">
        <v>155</v>
      </c>
      <c r="D47">
        <v>0.42733001999999998</v>
      </c>
      <c r="E47">
        <v>0.14399000000000001</v>
      </c>
      <c r="F47">
        <v>0.50492999999999999</v>
      </c>
      <c r="G47">
        <v>7587999744</v>
      </c>
      <c r="H47">
        <v>-8.6999999999999994E-2</v>
      </c>
      <c r="I47">
        <v>0.17243</v>
      </c>
      <c r="J47">
        <v>7016000000</v>
      </c>
      <c r="K47">
        <v>10707000000</v>
      </c>
      <c r="L47">
        <v>-10548374528</v>
      </c>
      <c r="M47">
        <v>83.94</v>
      </c>
      <c r="N47">
        <v>-0.63300000000000001</v>
      </c>
      <c r="O47">
        <v>0.46800000000000003</v>
      </c>
      <c r="P47">
        <v>1.33299995E-2</v>
      </c>
      <c r="Q47">
        <v>123.733</v>
      </c>
      <c r="R47">
        <v>3.8730000000000001E-2</v>
      </c>
      <c r="S47">
        <v>692000000</v>
      </c>
      <c r="T47">
        <v>55340998656</v>
      </c>
      <c r="U47">
        <v>16417999872</v>
      </c>
      <c r="V47">
        <v>0.35299999999999998</v>
      </c>
      <c r="W47" t="s">
        <v>40</v>
      </c>
      <c r="X47">
        <v>8.3689999999999998</v>
      </c>
      <c r="Y47">
        <v>0.222</v>
      </c>
      <c r="Z47" t="s">
        <v>42</v>
      </c>
      <c r="AA47" t="s">
        <v>157</v>
      </c>
      <c r="AB47">
        <v>14.071</v>
      </c>
      <c r="AC47">
        <v>32.927</v>
      </c>
      <c r="AD47">
        <v>2.74</v>
      </c>
      <c r="AE47">
        <v>1962140032</v>
      </c>
      <c r="AF47">
        <v>18.678000000000001</v>
      </c>
      <c r="AG47">
        <v>0.61399999999999999</v>
      </c>
      <c r="AH47">
        <v>4.4940576999999999</v>
      </c>
      <c r="AI47">
        <v>1.5700001E-3</v>
      </c>
      <c r="AJ47">
        <v>231018496000</v>
      </c>
      <c r="AK47">
        <v>-0.63600000000000001</v>
      </c>
      <c r="AL47">
        <v>3.6</v>
      </c>
      <c r="AM47">
        <v>30.635035999999999</v>
      </c>
      <c r="AN47">
        <v>164702044160</v>
      </c>
    </row>
    <row r="48" spans="1:40" x14ac:dyDescent="0.3">
      <c r="A48" s="1">
        <v>52</v>
      </c>
      <c r="B48" t="s">
        <v>159</v>
      </c>
      <c r="C48" t="s">
        <v>158</v>
      </c>
      <c r="D48">
        <v>0.32958999999999999</v>
      </c>
      <c r="E48">
        <v>0.12425</v>
      </c>
      <c r="F48">
        <v>0.43028998000000002</v>
      </c>
      <c r="G48">
        <v>9724999680</v>
      </c>
      <c r="H48">
        <v>0.14099999999999999</v>
      </c>
      <c r="I48">
        <v>0.17907000000000001</v>
      </c>
      <c r="J48">
        <v>10149000192</v>
      </c>
      <c r="K48">
        <v>13250000000</v>
      </c>
      <c r="L48">
        <v>6089124864</v>
      </c>
      <c r="M48">
        <v>318.74</v>
      </c>
      <c r="N48">
        <v>0.36399999999999999</v>
      </c>
      <c r="O48">
        <v>0.745</v>
      </c>
      <c r="P48">
        <v>4.0579999999999998E-2</v>
      </c>
      <c r="Q48">
        <v>31.265000000000001</v>
      </c>
      <c r="R48">
        <v>8.3260000000000001E-2</v>
      </c>
      <c r="S48">
        <v>2823000064</v>
      </c>
      <c r="T48">
        <v>14206999552</v>
      </c>
      <c r="U48">
        <v>30793000960</v>
      </c>
      <c r="V48">
        <v>5.5220000000000002</v>
      </c>
      <c r="W48" t="s">
        <v>40</v>
      </c>
      <c r="X48">
        <v>59.573</v>
      </c>
      <c r="Y48">
        <v>0.54700000000000004</v>
      </c>
      <c r="Z48" t="s">
        <v>42</v>
      </c>
      <c r="AA48" t="s">
        <v>160</v>
      </c>
      <c r="AB48">
        <v>5.3090000000000002</v>
      </c>
      <c r="AC48">
        <v>16.106999999999999</v>
      </c>
      <c r="AD48">
        <v>10.32</v>
      </c>
      <c r="AE48">
        <v>512555008</v>
      </c>
      <c r="AF48">
        <v>86.474999999999994</v>
      </c>
      <c r="AG48">
        <v>6.7960000000000003</v>
      </c>
      <c r="AH48">
        <v>3.6859207</v>
      </c>
      <c r="AI48">
        <v>2.0600000000000002E-3</v>
      </c>
      <c r="AJ48">
        <v>163466002432</v>
      </c>
      <c r="AK48">
        <v>0.33200000000000002</v>
      </c>
      <c r="AM48">
        <v>30.885657999999999</v>
      </c>
      <c r="AN48">
        <v>163371778048</v>
      </c>
    </row>
    <row r="49" spans="1:40" x14ac:dyDescent="0.3">
      <c r="A49" s="1">
        <v>53</v>
      </c>
      <c r="B49" t="s">
        <v>161</v>
      </c>
      <c r="C49" t="s">
        <v>68</v>
      </c>
      <c r="D49">
        <v>0.44366001999999999</v>
      </c>
      <c r="E49">
        <v>0.15078</v>
      </c>
      <c r="F49">
        <v>0.79871004999999995</v>
      </c>
      <c r="G49">
        <v>16206999552</v>
      </c>
      <c r="H49">
        <v>8.3000000000000004E-2</v>
      </c>
      <c r="I49">
        <v>0.21174999</v>
      </c>
      <c r="J49">
        <v>20579000320</v>
      </c>
      <c r="K49">
        <v>37048000000</v>
      </c>
      <c r="L49">
        <v>13574250496</v>
      </c>
      <c r="M49">
        <v>73.28</v>
      </c>
      <c r="O49">
        <v>1.5209999999999999</v>
      </c>
      <c r="P49">
        <v>5.3900000000000003E-2</v>
      </c>
      <c r="Q49">
        <v>126.634</v>
      </c>
      <c r="R49">
        <v>0.18984999999999999</v>
      </c>
      <c r="S49">
        <v>17220999168</v>
      </c>
      <c r="T49">
        <v>45596000256</v>
      </c>
      <c r="U49">
        <v>46385000448</v>
      </c>
      <c r="V49">
        <v>7.9009999999999998</v>
      </c>
      <c r="W49" t="s">
        <v>40</v>
      </c>
      <c r="X49">
        <v>20.885000000000002</v>
      </c>
      <c r="Y49">
        <v>1.36</v>
      </c>
      <c r="Z49" t="s">
        <v>42</v>
      </c>
      <c r="AA49" t="s">
        <v>162</v>
      </c>
      <c r="AB49">
        <v>3.79</v>
      </c>
      <c r="AC49">
        <v>8.5419999999999998</v>
      </c>
      <c r="AD49">
        <v>7.84</v>
      </c>
      <c r="AE49">
        <v>2219640064</v>
      </c>
      <c r="AF49">
        <v>16.765000000000001</v>
      </c>
      <c r="AG49">
        <v>-2.42</v>
      </c>
      <c r="AH49">
        <v>4.3710113000000002</v>
      </c>
      <c r="AI49">
        <v>6.8999996000000002E-4</v>
      </c>
      <c r="AJ49">
        <v>175783591936</v>
      </c>
      <c r="AL49">
        <v>1.39</v>
      </c>
      <c r="AM49">
        <v>9.3469379999999997</v>
      </c>
      <c r="AN49">
        <v>162655223808</v>
      </c>
    </row>
    <row r="50" spans="1:40" x14ac:dyDescent="0.3">
      <c r="A50" s="1">
        <v>54</v>
      </c>
      <c r="B50" t="s">
        <v>163</v>
      </c>
      <c r="C50" t="s">
        <v>116</v>
      </c>
      <c r="D50">
        <v>0.32923000000000002</v>
      </c>
      <c r="E50">
        <v>3.7740000000000003E-2</v>
      </c>
      <c r="F50">
        <v>0.56848997000000001</v>
      </c>
      <c r="G50">
        <v>13916999680</v>
      </c>
      <c r="H50">
        <v>2.1999999999999999E-2</v>
      </c>
      <c r="I50">
        <v>0.12474</v>
      </c>
      <c r="J50">
        <v>26377000960</v>
      </c>
      <c r="K50">
        <v>45546000000</v>
      </c>
      <c r="L50">
        <v>-246000000</v>
      </c>
      <c r="M50">
        <v>124.29</v>
      </c>
      <c r="N50">
        <v>-0.42799999999999999</v>
      </c>
      <c r="O50">
        <v>0.88900000000000001</v>
      </c>
      <c r="P50">
        <v>3.0710000000000001E-2</v>
      </c>
      <c r="Q50">
        <v>157.47300000000001</v>
      </c>
      <c r="R50">
        <v>4.4979999999999999E-2</v>
      </c>
      <c r="S50">
        <v>6631000064</v>
      </c>
      <c r="T50">
        <v>108816998400</v>
      </c>
      <c r="U50">
        <v>80117997568</v>
      </c>
      <c r="V50">
        <v>5.3079999999999998</v>
      </c>
      <c r="W50" t="s">
        <v>40</v>
      </c>
      <c r="X50">
        <v>64.241</v>
      </c>
      <c r="Y50">
        <v>0.67200000000000004</v>
      </c>
      <c r="Z50" t="s">
        <v>42</v>
      </c>
      <c r="AA50" t="s">
        <v>164</v>
      </c>
      <c r="AB50">
        <v>3.1970000000000001</v>
      </c>
      <c r="AC50">
        <v>9.7110000000000003</v>
      </c>
      <c r="AD50">
        <v>3.24</v>
      </c>
      <c r="AE50">
        <v>1249049984</v>
      </c>
      <c r="AF50">
        <v>54.783999999999999</v>
      </c>
      <c r="AG50">
        <v>2.66</v>
      </c>
      <c r="AH50">
        <v>2.2687279999999999</v>
      </c>
      <c r="AI50">
        <v>0.52608999999999995</v>
      </c>
      <c r="AJ50">
        <v>256136003584</v>
      </c>
      <c r="AK50">
        <v>-0.437</v>
      </c>
      <c r="AL50">
        <v>1.1499999999999999</v>
      </c>
      <c r="AM50">
        <v>38.361109999999996</v>
      </c>
      <c r="AN50">
        <v>155244429312</v>
      </c>
    </row>
    <row r="51" spans="1:40" x14ac:dyDescent="0.3">
      <c r="A51" s="1">
        <v>55</v>
      </c>
      <c r="B51" t="s">
        <v>166</v>
      </c>
      <c r="C51" t="s">
        <v>165</v>
      </c>
      <c r="D51">
        <v>0.17265</v>
      </c>
      <c r="E51">
        <v>5.1960002999999998E-2</v>
      </c>
      <c r="F51">
        <v>0.18392</v>
      </c>
      <c r="G51">
        <v>5288999936</v>
      </c>
      <c r="H51">
        <v>9.9000000000000005E-2</v>
      </c>
      <c r="I51">
        <v>0.10105</v>
      </c>
      <c r="J51">
        <v>11009000448</v>
      </c>
      <c r="K51">
        <v>9017000000</v>
      </c>
      <c r="L51">
        <v>4755749888</v>
      </c>
      <c r="M51">
        <v>102.43</v>
      </c>
      <c r="N51">
        <v>4.298</v>
      </c>
      <c r="O51">
        <v>1.23</v>
      </c>
      <c r="P51">
        <v>2.5080000000000002E-2</v>
      </c>
      <c r="Q51">
        <v>44.935000000000002</v>
      </c>
      <c r="R51">
        <v>5.0169999999999999E-2</v>
      </c>
      <c r="S51">
        <v>7475999744</v>
      </c>
      <c r="T51">
        <v>32789000192</v>
      </c>
      <c r="U51">
        <v>63763001344</v>
      </c>
      <c r="V51">
        <v>4.9909999999999997</v>
      </c>
      <c r="W51" t="s">
        <v>40</v>
      </c>
      <c r="X51">
        <v>42.421999999999997</v>
      </c>
      <c r="Y51">
        <v>0.81799999999999995</v>
      </c>
      <c r="Z51" t="s">
        <v>42</v>
      </c>
      <c r="AA51" t="s">
        <v>167</v>
      </c>
      <c r="AB51">
        <v>2.5379999999999998</v>
      </c>
      <c r="AC51">
        <v>14.698</v>
      </c>
      <c r="AD51">
        <v>4.99</v>
      </c>
      <c r="AE51">
        <v>1496780032</v>
      </c>
      <c r="AF51">
        <v>47.604999999999997</v>
      </c>
      <c r="AG51">
        <v>2.2000000000000002</v>
      </c>
      <c r="AH51">
        <v>2.1516647</v>
      </c>
      <c r="AI51">
        <v>1.1199999999999999E-3</v>
      </c>
      <c r="AJ51">
        <v>161814953984</v>
      </c>
      <c r="AK51">
        <v>4.2770000000000001</v>
      </c>
      <c r="AL51">
        <v>0.94</v>
      </c>
      <c r="AM51">
        <v>20.527056000000002</v>
      </c>
      <c r="AN51">
        <v>153315180544</v>
      </c>
    </row>
    <row r="52" spans="1:40" x14ac:dyDescent="0.3">
      <c r="A52" s="1">
        <v>56</v>
      </c>
      <c r="B52" t="s">
        <v>168</v>
      </c>
      <c r="C52" t="s">
        <v>82</v>
      </c>
      <c r="D52">
        <v>0.15587000000000001</v>
      </c>
      <c r="E52">
        <v>8.6249999999999993E-2</v>
      </c>
      <c r="F52">
        <v>0.33075001999999998</v>
      </c>
      <c r="G52">
        <v>8743000064</v>
      </c>
      <c r="H52">
        <v>2.7E-2</v>
      </c>
      <c r="I52">
        <v>0.13666001</v>
      </c>
      <c r="J52">
        <v>14842000384</v>
      </c>
      <c r="K52">
        <v>29582000000</v>
      </c>
      <c r="L52">
        <v>5926374912</v>
      </c>
      <c r="M52">
        <v>212.92</v>
      </c>
      <c r="N52">
        <v>2</v>
      </c>
      <c r="O52">
        <v>1.1930000000000001</v>
      </c>
      <c r="P52">
        <v>0.16220999999999999</v>
      </c>
      <c r="R52">
        <v>6.57829</v>
      </c>
      <c r="S52">
        <v>6706999808</v>
      </c>
      <c r="T52">
        <v>30948999168</v>
      </c>
      <c r="U52">
        <v>95221997568</v>
      </c>
      <c r="V52">
        <v>9.9550000000000001</v>
      </c>
      <c r="W52" t="s">
        <v>40</v>
      </c>
      <c r="X52">
        <v>133.88</v>
      </c>
      <c r="Y52">
        <v>0.34200000000000003</v>
      </c>
      <c r="Z52" t="s">
        <v>42</v>
      </c>
      <c r="AA52" t="s">
        <v>169</v>
      </c>
      <c r="AB52">
        <v>2.093</v>
      </c>
      <c r="AC52">
        <v>13.427</v>
      </c>
      <c r="AD52">
        <v>12.9</v>
      </c>
      <c r="AE52">
        <v>673747008</v>
      </c>
      <c r="AF52">
        <v>-2.2970000000000002</v>
      </c>
      <c r="AG52">
        <v>11.467000000000001</v>
      </c>
      <c r="AI52">
        <v>5.5000000000000003E-4</v>
      </c>
      <c r="AJ52">
        <v>199288258560</v>
      </c>
      <c r="AK52">
        <v>1.74</v>
      </c>
      <c r="AL52">
        <v>1.3</v>
      </c>
      <c r="AM52">
        <v>16.505426</v>
      </c>
      <c r="AN52">
        <v>143454208000</v>
      </c>
    </row>
    <row r="53" spans="1:40" x14ac:dyDescent="0.3">
      <c r="A53" s="1">
        <v>57</v>
      </c>
      <c r="B53" t="s">
        <v>170</v>
      </c>
      <c r="C53" t="s">
        <v>57</v>
      </c>
      <c r="D53">
        <v>0.24673999999999999</v>
      </c>
      <c r="E53">
        <v>0.19240999</v>
      </c>
      <c r="F53">
        <v>0.48248002000000001</v>
      </c>
      <c r="G53">
        <v>3520999936</v>
      </c>
      <c r="H53">
        <v>0.48799999999999999</v>
      </c>
      <c r="I53">
        <v>0.22198000000000001</v>
      </c>
      <c r="J53">
        <v>4055000064</v>
      </c>
      <c r="K53">
        <v>7929000000</v>
      </c>
      <c r="L53">
        <v>3122749952</v>
      </c>
      <c r="M53">
        <v>119.67</v>
      </c>
      <c r="N53">
        <v>-0.45400000000000001</v>
      </c>
      <c r="O53">
        <v>2.024</v>
      </c>
      <c r="P53">
        <v>0.21326999999999999</v>
      </c>
      <c r="Q53">
        <v>9.7639999999999993</v>
      </c>
      <c r="R53">
        <v>0.47427999999999998</v>
      </c>
      <c r="S53">
        <v>3608000000</v>
      </c>
      <c r="T53">
        <v>732000000</v>
      </c>
      <c r="U53">
        <v>16433999872</v>
      </c>
      <c r="V53">
        <v>3.008</v>
      </c>
      <c r="W53" t="s">
        <v>40</v>
      </c>
      <c r="X53">
        <v>13.548</v>
      </c>
      <c r="Y53">
        <v>1.49</v>
      </c>
      <c r="Z53" t="s">
        <v>42</v>
      </c>
      <c r="AA53" t="s">
        <v>171</v>
      </c>
      <c r="AB53">
        <v>8.0850000000000009</v>
      </c>
      <c r="AC53">
        <v>32.765000000000001</v>
      </c>
      <c r="AD53">
        <v>3.34</v>
      </c>
      <c r="AE53">
        <v>1207609984</v>
      </c>
      <c r="AF53">
        <v>5.8879999999999999</v>
      </c>
      <c r="AG53">
        <v>3.242</v>
      </c>
      <c r="AH53">
        <v>20.324389</v>
      </c>
      <c r="AI53">
        <v>4.2599999999999999E-3</v>
      </c>
      <c r="AJ53">
        <v>132861157376</v>
      </c>
      <c r="AK53">
        <v>-0.45300000000000001</v>
      </c>
      <c r="AL53">
        <v>1.55</v>
      </c>
      <c r="AM53">
        <v>35.829340000000002</v>
      </c>
      <c r="AN53">
        <v>144514678784</v>
      </c>
    </row>
    <row r="54" spans="1:40" x14ac:dyDescent="0.3">
      <c r="A54" s="1">
        <v>58</v>
      </c>
      <c r="B54" t="s">
        <v>173</v>
      </c>
      <c r="C54" t="s">
        <v>172</v>
      </c>
      <c r="D54">
        <v>0.45734000000000002</v>
      </c>
      <c r="E54">
        <v>0.29247000000000001</v>
      </c>
      <c r="F54">
        <v>0.68140999999999996</v>
      </c>
      <c r="G54">
        <v>11096999936</v>
      </c>
      <c r="H54">
        <v>9.0999999999999998E-2</v>
      </c>
      <c r="I54">
        <v>0.42510999999999999</v>
      </c>
      <c r="J54">
        <v>14060999680</v>
      </c>
      <c r="K54">
        <v>19125000000</v>
      </c>
      <c r="L54">
        <v>8760999936</v>
      </c>
      <c r="M54">
        <v>93.45</v>
      </c>
      <c r="N54">
        <v>4.9000000000000002E-2</v>
      </c>
      <c r="O54">
        <v>0.998</v>
      </c>
      <c r="P54">
        <v>0.2024</v>
      </c>
      <c r="S54">
        <v>4490999808</v>
      </c>
      <c r="T54">
        <v>29105000448</v>
      </c>
      <c r="U54">
        <v>30744999936</v>
      </c>
      <c r="V54">
        <v>2.8849999999999998</v>
      </c>
      <c r="W54" t="s">
        <v>40</v>
      </c>
      <c r="X54">
        <v>19.736999999999998</v>
      </c>
      <c r="Y54">
        <v>0.48499999999999999</v>
      </c>
      <c r="Z54" t="s">
        <v>42</v>
      </c>
      <c r="AA54" t="s">
        <v>174</v>
      </c>
      <c r="AB54">
        <v>5.7409999999999997</v>
      </c>
      <c r="AC54">
        <v>12.554</v>
      </c>
      <c r="AD54">
        <v>6.43</v>
      </c>
      <c r="AE54">
        <v>1556829952</v>
      </c>
      <c r="AF54">
        <v>-6.7729999999999997</v>
      </c>
      <c r="AG54">
        <v>5.74</v>
      </c>
      <c r="AI54">
        <v>1.91E-3</v>
      </c>
      <c r="AJ54">
        <v>176517775360</v>
      </c>
      <c r="AK54">
        <v>5.1999999999999998E-2</v>
      </c>
      <c r="AL54">
        <v>1.44</v>
      </c>
      <c r="AM54">
        <v>14.533436999999999</v>
      </c>
      <c r="AN54">
        <v>145485758464</v>
      </c>
    </row>
    <row r="55" spans="1:40" x14ac:dyDescent="0.3">
      <c r="A55" s="1">
        <v>60</v>
      </c>
      <c r="B55" t="s">
        <v>175</v>
      </c>
      <c r="C55" t="s">
        <v>126</v>
      </c>
      <c r="D55">
        <v>0.30181000000000002</v>
      </c>
      <c r="E55">
        <v>0.14793000000000001</v>
      </c>
      <c r="F55">
        <v>0.67627000000000004</v>
      </c>
      <c r="G55">
        <v>7161999872</v>
      </c>
      <c r="H55">
        <v>2.5999999999999999E-2</v>
      </c>
      <c r="I55">
        <v>0.21662001</v>
      </c>
      <c r="J55">
        <v>9596999680</v>
      </c>
      <c r="K55">
        <v>19762000000</v>
      </c>
      <c r="L55">
        <v>5072875008</v>
      </c>
      <c r="M55">
        <v>108.46</v>
      </c>
      <c r="N55">
        <v>1.694</v>
      </c>
      <c r="O55">
        <v>2.9129999999999998</v>
      </c>
      <c r="P55">
        <v>4.5879996999999999E-2</v>
      </c>
      <c r="Q55">
        <v>49.125</v>
      </c>
      <c r="R55">
        <v>9.2329999999999995E-2</v>
      </c>
      <c r="S55">
        <v>10668999680</v>
      </c>
      <c r="T55">
        <v>25622999040</v>
      </c>
      <c r="U55">
        <v>31797999616</v>
      </c>
      <c r="V55">
        <v>7.9349999999999996</v>
      </c>
      <c r="W55" t="s">
        <v>40</v>
      </c>
      <c r="X55">
        <v>23.628</v>
      </c>
      <c r="Y55">
        <v>2.0710000000000002</v>
      </c>
      <c r="Z55" t="s">
        <v>42</v>
      </c>
      <c r="AA55" t="s">
        <v>176</v>
      </c>
      <c r="AB55">
        <v>4.9580000000000002</v>
      </c>
      <c r="AC55">
        <v>16.428000000000001</v>
      </c>
      <c r="AD55">
        <v>6.16</v>
      </c>
      <c r="AE55">
        <v>1344560000</v>
      </c>
      <c r="AF55">
        <v>38.658999999999999</v>
      </c>
      <c r="AG55">
        <v>3.468</v>
      </c>
      <c r="AH55">
        <v>2.8055563000000001</v>
      </c>
      <c r="AI55">
        <v>2.3400000000000001E-3</v>
      </c>
      <c r="AJ55">
        <v>157658562560</v>
      </c>
      <c r="AK55">
        <v>1.681</v>
      </c>
      <c r="AL55">
        <v>1.63</v>
      </c>
      <c r="AM55">
        <v>17.607143000000001</v>
      </c>
      <c r="AN55">
        <v>145830969344</v>
      </c>
    </row>
    <row r="56" spans="1:40" x14ac:dyDescent="0.3">
      <c r="A56" s="1">
        <v>61</v>
      </c>
      <c r="B56" t="s">
        <v>177</v>
      </c>
      <c r="C56" t="s">
        <v>62</v>
      </c>
      <c r="D56">
        <v>6.2759999999999996E-2</v>
      </c>
      <c r="E56">
        <v>2.6679999999999999E-2</v>
      </c>
      <c r="F56">
        <v>0.17351</v>
      </c>
      <c r="G56">
        <v>17827000320</v>
      </c>
      <c r="H56">
        <v>0.1</v>
      </c>
      <c r="I56">
        <v>4.6789999999999998E-2</v>
      </c>
      <c r="J56">
        <v>17824000000</v>
      </c>
      <c r="K56">
        <v>48248000000</v>
      </c>
      <c r="L56">
        <v>14704874496</v>
      </c>
      <c r="M56">
        <v>108.56</v>
      </c>
      <c r="N56">
        <v>0.28999999999999998</v>
      </c>
      <c r="O56">
        <v>0.94</v>
      </c>
      <c r="P56">
        <v>3.551E-2</v>
      </c>
      <c r="Q56">
        <v>105.414</v>
      </c>
      <c r="R56">
        <v>0.10556</v>
      </c>
      <c r="S56">
        <v>12840999936</v>
      </c>
      <c r="T56">
        <v>78658002944</v>
      </c>
      <c r="U56">
        <v>283980988416</v>
      </c>
      <c r="V56">
        <v>9.7210000000000001</v>
      </c>
      <c r="W56" t="s">
        <v>40</v>
      </c>
      <c r="X56">
        <v>215.709</v>
      </c>
      <c r="Y56">
        <v>0.58899999999999997</v>
      </c>
      <c r="Z56" t="s">
        <v>42</v>
      </c>
      <c r="AA56" t="s">
        <v>178</v>
      </c>
      <c r="AB56">
        <v>0.71799999999999997</v>
      </c>
      <c r="AC56">
        <v>11.439</v>
      </c>
      <c r="AD56">
        <v>8.27</v>
      </c>
      <c r="AE56">
        <v>1320060032</v>
      </c>
      <c r="AF56">
        <v>56.250999999999998</v>
      </c>
      <c r="AG56">
        <v>5.7290000000000001</v>
      </c>
      <c r="AH56">
        <v>1.9299213</v>
      </c>
      <c r="AI56">
        <v>1.5900000000000001E-3</v>
      </c>
      <c r="AJ56">
        <v>203894095872</v>
      </c>
      <c r="AK56">
        <v>0.30599999999999999</v>
      </c>
      <c r="AL56">
        <v>2.27</v>
      </c>
      <c r="AM56">
        <v>13.126963999999999</v>
      </c>
      <c r="AN56">
        <v>143305719808</v>
      </c>
    </row>
    <row r="57" spans="1:40" x14ac:dyDescent="0.3">
      <c r="A57" s="1">
        <v>62</v>
      </c>
      <c r="B57" t="s">
        <v>180</v>
      </c>
      <c r="C57" t="s">
        <v>179</v>
      </c>
      <c r="D57">
        <v>0.56767000000000001</v>
      </c>
      <c r="E57">
        <v>0.36446998000000003</v>
      </c>
      <c r="F57">
        <v>0.73544997000000001</v>
      </c>
      <c r="G57">
        <v>3598000128</v>
      </c>
      <c r="H57">
        <v>0.11799999999999999</v>
      </c>
      <c r="I57">
        <v>0.54622000000000004</v>
      </c>
      <c r="J57">
        <v>4710000128</v>
      </c>
      <c r="K57">
        <v>6102000000</v>
      </c>
      <c r="L57">
        <v>2827249920</v>
      </c>
      <c r="M57">
        <v>413.47</v>
      </c>
      <c r="N57">
        <v>0.48699999999999999</v>
      </c>
      <c r="O57">
        <v>2.3090000000000002</v>
      </c>
      <c r="P57">
        <v>0.20552999</v>
      </c>
      <c r="Q57">
        <v>89.811999999999998</v>
      </c>
      <c r="R57">
        <v>0.73424999999999996</v>
      </c>
      <c r="S57">
        <v>6508000256</v>
      </c>
      <c r="T57">
        <v>4972000256</v>
      </c>
      <c r="U57">
        <v>8296999936</v>
      </c>
      <c r="V57">
        <v>26.992999999999999</v>
      </c>
      <c r="W57" t="s">
        <v>40</v>
      </c>
      <c r="X57">
        <v>34.456000000000003</v>
      </c>
      <c r="Y57">
        <v>2.1379999999999999</v>
      </c>
      <c r="Z57" t="s">
        <v>42</v>
      </c>
      <c r="AA57" t="s">
        <v>181</v>
      </c>
      <c r="AB57">
        <v>11.443</v>
      </c>
      <c r="AC57">
        <v>20.158000000000001</v>
      </c>
      <c r="AD57">
        <v>14.63</v>
      </c>
      <c r="AE57">
        <v>241000000</v>
      </c>
      <c r="AF57">
        <v>7.6559999999999997</v>
      </c>
      <c r="AG57">
        <v>11.599</v>
      </c>
      <c r="AH57">
        <v>54.006010000000003</v>
      </c>
      <c r="AI57">
        <v>1.6900000000000001E-3</v>
      </c>
      <c r="AJ57">
        <v>94945804288</v>
      </c>
      <c r="AK57">
        <v>0.48699999999999999</v>
      </c>
      <c r="AL57">
        <v>3.61</v>
      </c>
      <c r="AM57">
        <v>28.261790999999999</v>
      </c>
      <c r="AN57">
        <v>99646267392</v>
      </c>
    </row>
    <row r="58" spans="1:40" x14ac:dyDescent="0.3">
      <c r="A58" s="1">
        <v>63</v>
      </c>
      <c r="B58" t="s">
        <v>183</v>
      </c>
      <c r="C58" t="s">
        <v>182</v>
      </c>
      <c r="D58">
        <v>0.42903997999999999</v>
      </c>
      <c r="E58">
        <v>0.17315</v>
      </c>
      <c r="F58">
        <v>0.49155998000000001</v>
      </c>
      <c r="G58">
        <v>16995999744</v>
      </c>
      <c r="H58">
        <v>1.7709999999999999</v>
      </c>
      <c r="I58">
        <v>0.27434999999999998</v>
      </c>
      <c r="J58">
        <v>20018999296</v>
      </c>
      <c r="K58">
        <v>22936000000</v>
      </c>
      <c r="L58">
        <v>10509124608</v>
      </c>
      <c r="M58">
        <v>107.5</v>
      </c>
      <c r="O58">
        <v>1.335</v>
      </c>
      <c r="P58">
        <v>0.10439</v>
      </c>
      <c r="Q58">
        <v>45.371000000000002</v>
      </c>
      <c r="R58">
        <v>0.21471001000000001</v>
      </c>
      <c r="S58">
        <v>6591000064</v>
      </c>
      <c r="T58">
        <v>20600999936</v>
      </c>
      <c r="U58">
        <v>46660001792</v>
      </c>
      <c r="V58">
        <v>5.0720000000000001</v>
      </c>
      <c r="W58" t="s">
        <v>40</v>
      </c>
      <c r="X58">
        <v>35.237000000000002</v>
      </c>
      <c r="Y58">
        <v>1.103</v>
      </c>
      <c r="Z58" t="s">
        <v>42</v>
      </c>
      <c r="AA58" t="s">
        <v>184</v>
      </c>
      <c r="AB58">
        <v>2.7440000000000002</v>
      </c>
      <c r="AC58">
        <v>6.3949999999999996</v>
      </c>
      <c r="AD58">
        <v>7.8</v>
      </c>
      <c r="AE58">
        <v>1318950016</v>
      </c>
      <c r="AF58">
        <v>33.447000000000003</v>
      </c>
      <c r="AG58">
        <v>3.6869999999999998</v>
      </c>
      <c r="AH58">
        <v>3.2140403000000002</v>
      </c>
      <c r="AI58">
        <v>8.8999999999999995E-4</v>
      </c>
      <c r="AJ58">
        <v>128017498112</v>
      </c>
      <c r="AL58">
        <v>-7.27</v>
      </c>
      <c r="AM58">
        <v>13.782050999999999</v>
      </c>
      <c r="AN58">
        <v>141787119616</v>
      </c>
    </row>
    <row r="59" spans="1:40" x14ac:dyDescent="0.3">
      <c r="A59" s="1">
        <v>64</v>
      </c>
      <c r="B59" t="s">
        <v>185</v>
      </c>
      <c r="C59" t="s">
        <v>65</v>
      </c>
      <c r="D59">
        <v>0.21124001000000001</v>
      </c>
      <c r="E59">
        <v>0.20086001000000001</v>
      </c>
      <c r="F59">
        <v>0.47824</v>
      </c>
      <c r="G59">
        <v>5923999744</v>
      </c>
      <c r="H59">
        <v>0.13200000000000001</v>
      </c>
      <c r="I59">
        <v>0.17388001</v>
      </c>
      <c r="J59">
        <v>5190000128</v>
      </c>
      <c r="K59">
        <v>10001000000</v>
      </c>
      <c r="L59">
        <v>3478000128</v>
      </c>
      <c r="M59">
        <v>113.76</v>
      </c>
      <c r="N59">
        <v>7.0000000000000007E-2</v>
      </c>
      <c r="O59">
        <v>1.298</v>
      </c>
      <c r="P59">
        <v>3.8110003000000003E-2</v>
      </c>
      <c r="Q59">
        <v>43.902000000000001</v>
      </c>
      <c r="R59">
        <v>0.24299999</v>
      </c>
      <c r="S59">
        <v>13292000256</v>
      </c>
      <c r="T59">
        <v>9697999872</v>
      </c>
      <c r="U59">
        <v>24568999936</v>
      </c>
      <c r="V59">
        <v>11.313000000000001</v>
      </c>
      <c r="W59" t="s">
        <v>40</v>
      </c>
      <c r="X59">
        <v>20.931999999999999</v>
      </c>
      <c r="Y59">
        <v>0.33700000000000002</v>
      </c>
      <c r="Z59" t="s">
        <v>42</v>
      </c>
      <c r="AA59" t="s">
        <v>186</v>
      </c>
      <c r="AB59">
        <v>8.9939999999999998</v>
      </c>
      <c r="AC59">
        <v>42.578000000000003</v>
      </c>
      <c r="AD59">
        <v>5.27</v>
      </c>
      <c r="AE59">
        <v>1174930048</v>
      </c>
      <c r="AF59">
        <v>18.815999999999999</v>
      </c>
      <c r="AG59">
        <v>4.1589999999999998</v>
      </c>
      <c r="AH59">
        <v>6.0459185</v>
      </c>
      <c r="AI59">
        <v>1.2899999000000001E-3</v>
      </c>
      <c r="AJ59">
        <v>220982149120</v>
      </c>
      <c r="AK59">
        <v>6.5000000000000002E-2</v>
      </c>
      <c r="AL59">
        <v>2.02</v>
      </c>
      <c r="AM59">
        <v>21.586338000000001</v>
      </c>
      <c r="AN59">
        <v>133660041216</v>
      </c>
    </row>
    <row r="60" spans="1:40" x14ac:dyDescent="0.3">
      <c r="A60" s="1">
        <v>65</v>
      </c>
      <c r="B60" t="s">
        <v>188</v>
      </c>
      <c r="C60" t="s">
        <v>187</v>
      </c>
      <c r="D60">
        <v>0.25206000000000001</v>
      </c>
      <c r="E60">
        <v>0.15801999999999999</v>
      </c>
      <c r="F60">
        <v>0.32340000000000002</v>
      </c>
      <c r="G60">
        <v>6157000192</v>
      </c>
      <c r="H60">
        <v>8.6999999999999994E-2</v>
      </c>
      <c r="I60">
        <v>0.21779000000000001</v>
      </c>
      <c r="J60">
        <v>8730000384</v>
      </c>
      <c r="K60">
        <v>10468000000</v>
      </c>
      <c r="L60">
        <v>4935000064</v>
      </c>
      <c r="M60">
        <v>197.79</v>
      </c>
      <c r="N60">
        <v>0.68200000000000005</v>
      </c>
      <c r="O60">
        <v>1.288</v>
      </c>
      <c r="P60">
        <v>7.3860005000000006E-2</v>
      </c>
      <c r="Q60">
        <v>122.846</v>
      </c>
      <c r="R60">
        <v>0.30443999999999999</v>
      </c>
      <c r="S60">
        <v>12135999488</v>
      </c>
      <c r="T60">
        <v>22261000192</v>
      </c>
      <c r="U60">
        <v>34635001856</v>
      </c>
      <c r="V60">
        <v>17.629000000000001</v>
      </c>
      <c r="W60" t="s">
        <v>40</v>
      </c>
      <c r="X60">
        <v>49.783999999999999</v>
      </c>
      <c r="Y60">
        <v>0.96699999999999997</v>
      </c>
      <c r="Z60" t="s">
        <v>42</v>
      </c>
      <c r="AA60" t="s">
        <v>189</v>
      </c>
      <c r="AB60">
        <v>4.4550000000000001</v>
      </c>
      <c r="AC60">
        <v>17.672999999999998</v>
      </c>
      <c r="AD60">
        <v>8.98</v>
      </c>
      <c r="AE60">
        <v>688422976</v>
      </c>
      <c r="AF60">
        <v>25.917000000000002</v>
      </c>
      <c r="AG60">
        <v>7.77</v>
      </c>
      <c r="AH60">
        <v>7.6316699999999997</v>
      </c>
      <c r="AI60">
        <v>8.7000000000000001E-4</v>
      </c>
      <c r="AJ60">
        <v>154284408832</v>
      </c>
      <c r="AK60">
        <v>0.65800000000000003</v>
      </c>
      <c r="AL60">
        <v>2.27</v>
      </c>
      <c r="AM60">
        <v>22.025614000000001</v>
      </c>
      <c r="AN60">
        <v>136163172352</v>
      </c>
    </row>
    <row r="61" spans="1:40" x14ac:dyDescent="0.3">
      <c r="A61" s="1">
        <v>66</v>
      </c>
      <c r="B61" t="s">
        <v>190</v>
      </c>
      <c r="C61" t="s">
        <v>68</v>
      </c>
      <c r="D61">
        <v>0.47642000000000001</v>
      </c>
      <c r="E61">
        <v>0.21767998999999999</v>
      </c>
      <c r="F61">
        <v>0.75421994999999997</v>
      </c>
      <c r="G61">
        <v>8606000128</v>
      </c>
      <c r="H61">
        <v>4.3999999999999997E-2</v>
      </c>
      <c r="I61">
        <v>0.34998000000000001</v>
      </c>
      <c r="J61">
        <v>12275999744</v>
      </c>
      <c r="K61">
        <v>19265000000</v>
      </c>
      <c r="L61">
        <v>7394749952</v>
      </c>
      <c r="M61">
        <v>238.79</v>
      </c>
      <c r="N61">
        <v>-3.5000000000000003E-2</v>
      </c>
      <c r="O61">
        <v>1.643</v>
      </c>
      <c r="P61">
        <v>8.6959999999999996E-2</v>
      </c>
      <c r="Q61">
        <v>457.33199999999999</v>
      </c>
      <c r="R61">
        <v>0.58499999999999996</v>
      </c>
      <c r="S61">
        <v>12920999936</v>
      </c>
      <c r="T61">
        <v>37579001856</v>
      </c>
      <c r="U61">
        <v>25767000064</v>
      </c>
      <c r="V61">
        <v>22.939</v>
      </c>
      <c r="W61" t="s">
        <v>40</v>
      </c>
      <c r="X61">
        <v>44.89</v>
      </c>
      <c r="Y61">
        <v>1.1919999999999999</v>
      </c>
      <c r="Z61" t="s">
        <v>42</v>
      </c>
      <c r="AA61" t="s">
        <v>191</v>
      </c>
      <c r="AB61">
        <v>6.0679999999999996</v>
      </c>
      <c r="AC61">
        <v>12.738</v>
      </c>
      <c r="AD61">
        <v>17.95</v>
      </c>
      <c r="AE61">
        <v>563265984</v>
      </c>
      <c r="AF61">
        <v>14.542999999999999</v>
      </c>
      <c r="AG61">
        <v>9.7010000000000005</v>
      </c>
      <c r="AH61">
        <v>16.419581999999998</v>
      </c>
      <c r="AI61">
        <v>2.14E-3</v>
      </c>
      <c r="AJ61">
        <v>156366471168</v>
      </c>
      <c r="AK61">
        <v>-6.8000000000000005E-2</v>
      </c>
      <c r="AL61">
        <v>2.2799999999999998</v>
      </c>
      <c r="AM61">
        <v>13.303063</v>
      </c>
      <c r="AN61">
        <v>134502277120</v>
      </c>
    </row>
    <row r="62" spans="1:40" x14ac:dyDescent="0.3">
      <c r="A62" s="1">
        <v>67</v>
      </c>
      <c r="B62" t="s">
        <v>193</v>
      </c>
      <c r="C62" t="s">
        <v>192</v>
      </c>
      <c r="D62">
        <v>0.20566000000000001</v>
      </c>
      <c r="E62">
        <v>0.13566</v>
      </c>
      <c r="F62">
        <v>0.27728000000000003</v>
      </c>
      <c r="G62">
        <v>7726000128</v>
      </c>
      <c r="H62">
        <v>0.16</v>
      </c>
      <c r="I62">
        <v>0.18414</v>
      </c>
      <c r="J62">
        <v>9040000000</v>
      </c>
      <c r="K62">
        <v>12188000000</v>
      </c>
      <c r="L62">
        <v>1230499968</v>
      </c>
      <c r="M62">
        <v>436.45</v>
      </c>
      <c r="N62">
        <v>0.72399999999999998</v>
      </c>
      <c r="O62">
        <v>2.1920000000000002</v>
      </c>
      <c r="P62">
        <v>6.3549999999999995E-2</v>
      </c>
      <c r="Q62">
        <v>264.86399999999998</v>
      </c>
      <c r="R62">
        <v>0.38019999999999998</v>
      </c>
      <c r="S62">
        <v>7434999808</v>
      </c>
      <c r="T62">
        <v>48824999936</v>
      </c>
      <c r="U62">
        <v>43955998720</v>
      </c>
      <c r="V62">
        <v>24.186</v>
      </c>
      <c r="W62" t="s">
        <v>40</v>
      </c>
      <c r="X62">
        <v>141.065</v>
      </c>
      <c r="Y62">
        <v>1.94</v>
      </c>
      <c r="Z62" t="s">
        <v>42</v>
      </c>
      <c r="AA62" t="s">
        <v>194</v>
      </c>
      <c r="AB62">
        <v>3.673</v>
      </c>
      <c r="AC62">
        <v>17.86</v>
      </c>
      <c r="AD62">
        <v>25.12</v>
      </c>
      <c r="AE62">
        <v>307407008</v>
      </c>
      <c r="AF62">
        <v>59.828000000000003</v>
      </c>
      <c r="AG62">
        <v>18.989999999999998</v>
      </c>
      <c r="AH62">
        <v>7.2950796999999996</v>
      </c>
      <c r="AI62">
        <v>1.39E-3</v>
      </c>
      <c r="AJ62">
        <v>161453981696</v>
      </c>
      <c r="AK62">
        <v>0.69299999999999995</v>
      </c>
      <c r="AL62">
        <v>1.34</v>
      </c>
      <c r="AM62">
        <v>17.374600999999998</v>
      </c>
      <c r="AN62">
        <v>134167789568</v>
      </c>
    </row>
    <row r="63" spans="1:40" x14ac:dyDescent="0.3">
      <c r="A63" s="1">
        <v>68</v>
      </c>
      <c r="B63" t="s">
        <v>195</v>
      </c>
      <c r="C63" t="s">
        <v>119</v>
      </c>
      <c r="D63">
        <v>0.28011999999999998</v>
      </c>
      <c r="E63">
        <v>0.20277001</v>
      </c>
      <c r="F63">
        <v>0.82689005000000004</v>
      </c>
      <c r="G63">
        <v>3350000128</v>
      </c>
      <c r="H63">
        <v>0.51700000000000002</v>
      </c>
      <c r="I63">
        <v>0.24396999</v>
      </c>
      <c r="J63">
        <v>2889999872</v>
      </c>
      <c r="K63">
        <v>8000000000</v>
      </c>
      <c r="L63">
        <v>2693625088</v>
      </c>
      <c r="M63">
        <v>459.35</v>
      </c>
      <c r="N63">
        <v>9.2999999999999999E-2</v>
      </c>
      <c r="O63">
        <v>2.0990000000000002</v>
      </c>
      <c r="P63">
        <v>0.12801999999999999</v>
      </c>
      <c r="Q63">
        <v>25.757999999999999</v>
      </c>
      <c r="R63">
        <v>0.27933999999999998</v>
      </c>
      <c r="S63">
        <v>3249999872</v>
      </c>
      <c r="T63">
        <v>2507000064</v>
      </c>
      <c r="U63">
        <v>10316999680</v>
      </c>
      <c r="V63">
        <v>11.477</v>
      </c>
      <c r="W63" t="s">
        <v>40</v>
      </c>
      <c r="X63">
        <v>37.860999999999997</v>
      </c>
      <c r="Y63">
        <v>1.764</v>
      </c>
      <c r="Z63" t="s">
        <v>42</v>
      </c>
      <c r="AA63" t="s">
        <v>196</v>
      </c>
      <c r="AB63">
        <v>16.899000000000001</v>
      </c>
      <c r="AC63">
        <v>60.326999999999998</v>
      </c>
      <c r="AD63">
        <v>13.64</v>
      </c>
      <c r="AE63">
        <v>283167008</v>
      </c>
      <c r="AF63">
        <v>35.622999999999998</v>
      </c>
      <c r="AG63">
        <v>7.5810000000000004</v>
      </c>
      <c r="AH63">
        <v>12.894759000000001</v>
      </c>
      <c r="AI63">
        <v>2.809E-2</v>
      </c>
      <c r="AJ63">
        <v>174345699328</v>
      </c>
      <c r="AK63">
        <v>0.152</v>
      </c>
      <c r="AL63">
        <v>3.04</v>
      </c>
      <c r="AM63">
        <v>33.676684999999999</v>
      </c>
      <c r="AN63">
        <v>130072764416</v>
      </c>
    </row>
    <row r="64" spans="1:40" x14ac:dyDescent="0.3">
      <c r="A64" s="1">
        <v>69</v>
      </c>
      <c r="B64" t="s">
        <v>198</v>
      </c>
      <c r="C64" t="s">
        <v>197</v>
      </c>
      <c r="D64">
        <v>0.33173999999999998</v>
      </c>
      <c r="E64">
        <v>0.25530002000000002</v>
      </c>
      <c r="F64">
        <v>0.47373999999999999</v>
      </c>
      <c r="G64">
        <v>5441999872</v>
      </c>
      <c r="H64">
        <v>0.30599999999999999</v>
      </c>
      <c r="I64">
        <v>0.31465998000000001</v>
      </c>
      <c r="J64">
        <v>7650999808</v>
      </c>
      <c r="K64">
        <v>10926000000</v>
      </c>
      <c r="L64">
        <v>3319124992</v>
      </c>
      <c r="M64">
        <v>137.06</v>
      </c>
      <c r="N64">
        <v>0.53300000000000003</v>
      </c>
      <c r="O64">
        <v>2.5390000000000001</v>
      </c>
      <c r="P64">
        <v>0.18829000000000001</v>
      </c>
      <c r="Q64">
        <v>46.975000000000001</v>
      </c>
      <c r="R64">
        <v>0.51593</v>
      </c>
      <c r="S64">
        <v>5458999808</v>
      </c>
      <c r="T64">
        <v>5752999936</v>
      </c>
      <c r="U64">
        <v>23062999040</v>
      </c>
      <c r="V64">
        <v>6.1440000000000001</v>
      </c>
      <c r="W64" t="s">
        <v>40</v>
      </c>
      <c r="X64">
        <v>25.344000000000001</v>
      </c>
      <c r="Y64">
        <v>1.673</v>
      </c>
      <c r="Z64" t="s">
        <v>42</v>
      </c>
      <c r="AA64" t="s">
        <v>199</v>
      </c>
      <c r="AB64">
        <v>5.9359999999999999</v>
      </c>
      <c r="AC64">
        <v>17.891999999999999</v>
      </c>
      <c r="AD64">
        <v>8.85</v>
      </c>
      <c r="AE64">
        <v>888513024</v>
      </c>
      <c r="AF64">
        <v>13.73</v>
      </c>
      <c r="AG64">
        <v>6.4</v>
      </c>
      <c r="AH64">
        <v>9.9825199999999992</v>
      </c>
      <c r="AI64">
        <v>2.4099999999999998E-3</v>
      </c>
      <c r="AJ64">
        <v>136894029824</v>
      </c>
      <c r="AK64">
        <v>0.51400000000000001</v>
      </c>
      <c r="AL64">
        <v>1.17</v>
      </c>
      <c r="AM64">
        <v>15.487004000000001</v>
      </c>
      <c r="AN64">
        <v>121779593216</v>
      </c>
    </row>
    <row r="65" spans="1:40" x14ac:dyDescent="0.3">
      <c r="A65" s="1">
        <v>70</v>
      </c>
      <c r="B65" t="s">
        <v>200</v>
      </c>
      <c r="C65" t="s">
        <v>62</v>
      </c>
      <c r="D65">
        <v>6.5379999999999994E-2</v>
      </c>
      <c r="E65">
        <v>4.1220001999999999E-2</v>
      </c>
      <c r="F65">
        <v>0.25908999999999999</v>
      </c>
      <c r="G65">
        <v>10504999936</v>
      </c>
      <c r="H65">
        <v>0.15</v>
      </c>
      <c r="I65">
        <v>5.9249999999999997E-2</v>
      </c>
      <c r="J65">
        <v>8753000448</v>
      </c>
      <c r="K65">
        <v>33823000000</v>
      </c>
      <c r="L65">
        <v>7365374976</v>
      </c>
      <c r="M65">
        <v>480.76</v>
      </c>
      <c r="N65">
        <v>6.0460000000000003</v>
      </c>
      <c r="O65">
        <v>1.476</v>
      </c>
      <c r="P65">
        <v>5.3710000000000001E-2</v>
      </c>
      <c r="Q65">
        <v>66.275999999999996</v>
      </c>
      <c r="R65">
        <v>0.15834999999999999</v>
      </c>
      <c r="S65">
        <v>33956999168</v>
      </c>
      <c r="T65">
        <v>23732000768</v>
      </c>
      <c r="U65">
        <v>133883002880</v>
      </c>
      <c r="V65">
        <v>139.905</v>
      </c>
      <c r="W65" t="s">
        <v>40</v>
      </c>
      <c r="X65">
        <v>546.23800000000006</v>
      </c>
      <c r="Y65">
        <v>1.327</v>
      </c>
      <c r="Z65" t="s">
        <v>42</v>
      </c>
      <c r="AA65" t="s">
        <v>201</v>
      </c>
      <c r="AB65">
        <v>0.755</v>
      </c>
      <c r="AC65">
        <v>11.545</v>
      </c>
      <c r="AD65">
        <v>28.65</v>
      </c>
      <c r="AE65">
        <v>242715008</v>
      </c>
      <c r="AF65">
        <v>147.15799999999999</v>
      </c>
      <c r="AG65">
        <v>22.228000000000002</v>
      </c>
      <c r="AH65">
        <v>3.2669646999999999</v>
      </c>
      <c r="AI65">
        <v>2.0299999000000001E-3</v>
      </c>
      <c r="AJ65">
        <v>101050580992</v>
      </c>
      <c r="AK65">
        <v>5.7969999999999997</v>
      </c>
      <c r="AL65">
        <v>1.31</v>
      </c>
      <c r="AM65">
        <v>16.780455</v>
      </c>
      <c r="AN65">
        <v>116687667200</v>
      </c>
    </row>
    <row r="66" spans="1:40" x14ac:dyDescent="0.3">
      <c r="A66" s="1">
        <v>71</v>
      </c>
      <c r="B66" t="s">
        <v>202</v>
      </c>
      <c r="C66" t="s">
        <v>165</v>
      </c>
      <c r="D66">
        <v>0.13439000000000001</v>
      </c>
      <c r="E66">
        <v>9.4189993999999999E-2</v>
      </c>
      <c r="F66">
        <v>0.13569000000000001</v>
      </c>
      <c r="G66">
        <v>9221000192</v>
      </c>
      <c r="H66">
        <v>4.1000000000000002E-2</v>
      </c>
      <c r="I66">
        <v>0.11665</v>
      </c>
      <c r="J66">
        <v>9009999872</v>
      </c>
      <c r="K66">
        <v>9097000000</v>
      </c>
      <c r="L66">
        <v>4841500160</v>
      </c>
      <c r="M66">
        <v>453.66</v>
      </c>
      <c r="N66">
        <v>0.17100000000000001</v>
      </c>
      <c r="O66">
        <v>1.4159999999999999</v>
      </c>
      <c r="P66">
        <v>9.6240000000000006E-2</v>
      </c>
      <c r="Q66">
        <v>119.55500000000001</v>
      </c>
      <c r="R66">
        <v>0.74307000000000001</v>
      </c>
      <c r="S66">
        <v>3604000000</v>
      </c>
      <c r="T66">
        <v>13102000128</v>
      </c>
      <c r="U66">
        <v>67043999744</v>
      </c>
      <c r="V66">
        <v>13.234</v>
      </c>
      <c r="W66" t="s">
        <v>40</v>
      </c>
      <c r="X66">
        <v>242.56200000000001</v>
      </c>
      <c r="Y66">
        <v>1.1539999999999999</v>
      </c>
      <c r="Z66" t="s">
        <v>42</v>
      </c>
      <c r="AA66" t="s">
        <v>203</v>
      </c>
      <c r="AB66">
        <v>2.0350000000000001</v>
      </c>
      <c r="AC66">
        <v>15.144</v>
      </c>
      <c r="AD66">
        <v>26.28</v>
      </c>
      <c r="AE66">
        <v>275785984</v>
      </c>
      <c r="AF66">
        <v>35.15</v>
      </c>
      <c r="AG66">
        <v>21.709</v>
      </c>
      <c r="AH66">
        <v>12.906401000000001</v>
      </c>
      <c r="AI66">
        <v>8.0999999999999996E-4</v>
      </c>
      <c r="AJ66">
        <v>136443199488</v>
      </c>
      <c r="AK66">
        <v>0.14299999999999999</v>
      </c>
      <c r="AL66">
        <v>3.22</v>
      </c>
      <c r="AM66">
        <v>17.262556</v>
      </c>
      <c r="AN66">
        <v>125113073664</v>
      </c>
    </row>
    <row r="67" spans="1:40" x14ac:dyDescent="0.3">
      <c r="A67" s="1">
        <v>72</v>
      </c>
      <c r="B67" t="s">
        <v>204</v>
      </c>
      <c r="C67" t="s">
        <v>192</v>
      </c>
      <c r="D67">
        <v>0.18107999999999999</v>
      </c>
      <c r="E67">
        <v>0.12731000000000001</v>
      </c>
      <c r="F67">
        <v>0.29433999999999999</v>
      </c>
      <c r="G67">
        <v>7198000128</v>
      </c>
      <c r="H67">
        <v>0.22800000000000001</v>
      </c>
      <c r="I67">
        <v>0.13494</v>
      </c>
      <c r="J67">
        <v>9230000128</v>
      </c>
      <c r="K67">
        <v>15003000000</v>
      </c>
      <c r="L67">
        <v>5983750144</v>
      </c>
      <c r="M67">
        <v>223.36</v>
      </c>
      <c r="N67">
        <v>1.764</v>
      </c>
      <c r="O67">
        <v>1.456</v>
      </c>
      <c r="P67">
        <v>5.3359999999999998E-2</v>
      </c>
      <c r="Q67">
        <v>228.80199999999999</v>
      </c>
      <c r="R67">
        <v>0.40715997999999998</v>
      </c>
      <c r="S67">
        <v>9253999616</v>
      </c>
      <c r="T67">
        <v>37788999680</v>
      </c>
      <c r="U67">
        <v>50971000832</v>
      </c>
      <c r="V67">
        <v>17.178000000000001</v>
      </c>
      <c r="W67" t="s">
        <v>40</v>
      </c>
      <c r="X67">
        <v>93.697000000000003</v>
      </c>
      <c r="Y67">
        <v>0.89200000000000002</v>
      </c>
      <c r="Z67" t="s">
        <v>42</v>
      </c>
      <c r="AA67" t="s">
        <v>205</v>
      </c>
      <c r="AB67">
        <v>2.7130000000000001</v>
      </c>
      <c r="AC67">
        <v>14.98</v>
      </c>
      <c r="AD67">
        <v>10.9</v>
      </c>
      <c r="AE67">
        <v>540942016</v>
      </c>
      <c r="AF67">
        <v>30.806999999999999</v>
      </c>
      <c r="AG67">
        <v>9.3480000000000008</v>
      </c>
      <c r="AH67">
        <v>7.2503004000000004</v>
      </c>
      <c r="AI67">
        <v>1.9599999999999999E-3</v>
      </c>
      <c r="AJ67">
        <v>138267869184</v>
      </c>
      <c r="AK67">
        <v>1.718</v>
      </c>
      <c r="AL67">
        <v>0.65</v>
      </c>
      <c r="AM67">
        <v>20.491743</v>
      </c>
      <c r="AN67">
        <v>120824807424</v>
      </c>
    </row>
    <row r="68" spans="1:40" x14ac:dyDescent="0.3">
      <c r="A68" s="1">
        <v>73</v>
      </c>
      <c r="B68" t="s">
        <v>206</v>
      </c>
      <c r="C68" t="s">
        <v>113</v>
      </c>
      <c r="D68">
        <v>0.21030001000000001</v>
      </c>
      <c r="E68">
        <v>6.4009999999999997E-2</v>
      </c>
      <c r="F68">
        <v>0.48443002000000002</v>
      </c>
      <c r="G68">
        <v>16112000000</v>
      </c>
      <c r="H68">
        <v>3.0000000000000001E-3</v>
      </c>
      <c r="I68">
        <v>0.119849995</v>
      </c>
      <c r="J68">
        <v>15658999808</v>
      </c>
      <c r="K68">
        <v>35575000000</v>
      </c>
      <c r="L68">
        <v>12530875392</v>
      </c>
      <c r="M68">
        <v>131.35</v>
      </c>
      <c r="N68">
        <v>-0.33800000000000002</v>
      </c>
      <c r="O68">
        <v>0.83599999999999997</v>
      </c>
      <c r="P68">
        <v>3.739E-2</v>
      </c>
      <c r="Q68">
        <v>263.80099999999999</v>
      </c>
      <c r="R68">
        <v>0.21405001000000001</v>
      </c>
      <c r="S68">
        <v>8055000064</v>
      </c>
      <c r="T68">
        <v>58978000896</v>
      </c>
      <c r="U68">
        <v>74461003776</v>
      </c>
      <c r="V68">
        <v>8.9819999999999993</v>
      </c>
      <c r="W68" t="s">
        <v>40</v>
      </c>
      <c r="X68">
        <v>83.233999999999995</v>
      </c>
      <c r="Y68">
        <v>0.65</v>
      </c>
      <c r="Z68" t="s">
        <v>42</v>
      </c>
      <c r="AA68" t="s">
        <v>207</v>
      </c>
      <c r="AB68">
        <v>2.3479999999999999</v>
      </c>
      <c r="AC68">
        <v>11.164999999999999</v>
      </c>
      <c r="AD68">
        <v>10.3</v>
      </c>
      <c r="AE68">
        <v>896320000</v>
      </c>
      <c r="AF68">
        <v>24.786000000000001</v>
      </c>
      <c r="AG68">
        <v>5.2830000000000004</v>
      </c>
      <c r="AH68">
        <v>5.2993629999999996</v>
      </c>
      <c r="AI68">
        <v>1.33E-3</v>
      </c>
      <c r="AJ68">
        <v>174828388352</v>
      </c>
      <c r="AK68">
        <v>-0.33500000000000002</v>
      </c>
      <c r="AL68">
        <v>2.0699999999999998</v>
      </c>
      <c r="AM68">
        <v>12.752427000000001</v>
      </c>
      <c r="AN68">
        <v>117731639296</v>
      </c>
    </row>
    <row r="69" spans="1:40" x14ac:dyDescent="0.3">
      <c r="A69" s="1">
        <v>74</v>
      </c>
      <c r="B69" t="s">
        <v>208</v>
      </c>
      <c r="C69" t="s">
        <v>119</v>
      </c>
      <c r="D69">
        <v>0.122770004</v>
      </c>
      <c r="E69">
        <v>3.986E-2</v>
      </c>
      <c r="F69">
        <v>0.77259999999999995</v>
      </c>
      <c r="G69">
        <v>2032599040</v>
      </c>
      <c r="H69">
        <v>0.312</v>
      </c>
      <c r="I69">
        <v>4.3360000000000003E-2</v>
      </c>
      <c r="J69">
        <v>679244032</v>
      </c>
      <c r="K69">
        <v>3532371000</v>
      </c>
      <c r="L69">
        <v>2109631104</v>
      </c>
      <c r="M69">
        <v>561.87</v>
      </c>
      <c r="N69">
        <v>4.1669999999999998</v>
      </c>
      <c r="O69">
        <v>1.131</v>
      </c>
      <c r="P69">
        <v>1.745E-2</v>
      </c>
      <c r="Q69">
        <v>63.015999999999998</v>
      </c>
      <c r="R69">
        <v>7.1040004000000004E-2</v>
      </c>
      <c r="S69">
        <v>3031000064</v>
      </c>
      <c r="T69">
        <v>2227000064</v>
      </c>
      <c r="U69">
        <v>5532484096</v>
      </c>
      <c r="V69">
        <v>15.231999999999999</v>
      </c>
      <c r="W69" t="s">
        <v>40</v>
      </c>
      <c r="X69">
        <v>28.161999999999999</v>
      </c>
      <c r="Y69">
        <v>1.004</v>
      </c>
      <c r="Z69" t="s">
        <v>42</v>
      </c>
      <c r="AA69" t="s">
        <v>209</v>
      </c>
      <c r="AB69">
        <v>21.577000000000002</v>
      </c>
      <c r="AC69">
        <v>175.75</v>
      </c>
      <c r="AD69">
        <v>7.22</v>
      </c>
      <c r="AE69">
        <v>199000000</v>
      </c>
      <c r="AF69">
        <v>17.759</v>
      </c>
      <c r="AG69">
        <v>1.091</v>
      </c>
      <c r="AH69">
        <v>31.638603</v>
      </c>
      <c r="AI69">
        <v>3.8400001000000001E-3</v>
      </c>
      <c r="AJ69">
        <v>119377043456</v>
      </c>
      <c r="AK69">
        <v>3.8460000000000001</v>
      </c>
      <c r="AL69">
        <v>3.88</v>
      </c>
      <c r="AM69">
        <v>77.821335000000005</v>
      </c>
      <c r="AN69">
        <v>111812132864</v>
      </c>
    </row>
    <row r="70" spans="1:40" x14ac:dyDescent="0.3">
      <c r="A70" s="1">
        <v>75</v>
      </c>
      <c r="B70" t="s">
        <v>211</v>
      </c>
      <c r="C70" t="s">
        <v>210</v>
      </c>
      <c r="D70">
        <v>0.68964000000000003</v>
      </c>
      <c r="E70">
        <v>0.40217999999999998</v>
      </c>
      <c r="F70">
        <v>0.75180999999999998</v>
      </c>
      <c r="G70">
        <v>2883645952</v>
      </c>
      <c r="H70">
        <v>0.10199999999999999</v>
      </c>
      <c r="I70">
        <v>0.36385000000000001</v>
      </c>
      <c r="J70">
        <v>3383100928</v>
      </c>
      <c r="K70">
        <v>3566001000</v>
      </c>
      <c r="L70">
        <v>4072106752</v>
      </c>
      <c r="M70">
        <v>157.33000000000001</v>
      </c>
      <c r="N70">
        <v>1.415</v>
      </c>
      <c r="O70">
        <v>0.84799999999999998</v>
      </c>
      <c r="P70">
        <v>1.9779999999999999E-2</v>
      </c>
      <c r="Q70">
        <v>47.759</v>
      </c>
      <c r="R70">
        <v>5.8860000000000003E-2</v>
      </c>
      <c r="S70">
        <v>585070976</v>
      </c>
      <c r="T70">
        <v>17554874368</v>
      </c>
      <c r="U70">
        <v>4905615872</v>
      </c>
      <c r="V70">
        <v>0.79100000000000004</v>
      </c>
      <c r="W70" t="s">
        <v>40</v>
      </c>
      <c r="X70">
        <v>6.6369999999999996</v>
      </c>
      <c r="Y70">
        <v>0.40300000000000002</v>
      </c>
      <c r="Z70" t="s">
        <v>42</v>
      </c>
      <c r="AA70" t="s">
        <v>212</v>
      </c>
      <c r="AB70">
        <v>28.603000000000002</v>
      </c>
      <c r="AC70">
        <v>41.475999999999999</v>
      </c>
      <c r="AD70">
        <v>2.31</v>
      </c>
      <c r="AE70">
        <v>739326976</v>
      </c>
      <c r="AF70">
        <v>43.881</v>
      </c>
      <c r="AG70">
        <v>2.6440000000000001</v>
      </c>
      <c r="AH70">
        <v>3.5853785999999999</v>
      </c>
      <c r="AI70">
        <v>5.0400000000000002E-3</v>
      </c>
      <c r="AJ70">
        <v>140316753920</v>
      </c>
      <c r="AK70">
        <v>1.39</v>
      </c>
      <c r="AL70">
        <v>-11.62</v>
      </c>
      <c r="AM70">
        <v>68.108230000000006</v>
      </c>
      <c r="AN70">
        <v>116318314496</v>
      </c>
    </row>
    <row r="71" spans="1:40" x14ac:dyDescent="0.3">
      <c r="A71" s="1">
        <v>77</v>
      </c>
      <c r="B71" t="s">
        <v>214</v>
      </c>
      <c r="C71" t="s">
        <v>213</v>
      </c>
      <c r="D71">
        <v>0.41138999999999998</v>
      </c>
      <c r="E71">
        <v>0.30972</v>
      </c>
      <c r="F71">
        <v>0.50815999999999995</v>
      </c>
      <c r="G71">
        <v>5006000128</v>
      </c>
      <c r="H71">
        <v>0.156</v>
      </c>
      <c r="I71">
        <v>0.38963002000000002</v>
      </c>
      <c r="J71">
        <v>7712000000</v>
      </c>
      <c r="K71">
        <v>8266000000</v>
      </c>
      <c r="L71">
        <v>5881375232</v>
      </c>
      <c r="M71">
        <v>741.04</v>
      </c>
      <c r="N71">
        <v>0.22800000000000001</v>
      </c>
      <c r="O71">
        <v>1.427</v>
      </c>
      <c r="P71">
        <v>2.7269999999999999E-2</v>
      </c>
      <c r="Q71">
        <v>21.949000000000002</v>
      </c>
      <c r="R71">
        <v>0.16974</v>
      </c>
      <c r="S71">
        <v>7157000192</v>
      </c>
      <c r="T71">
        <v>8421000192</v>
      </c>
      <c r="U71">
        <v>18745999360</v>
      </c>
      <c r="V71">
        <v>47.110999999999997</v>
      </c>
      <c r="W71" t="s">
        <v>40</v>
      </c>
      <c r="X71">
        <v>122.998</v>
      </c>
      <c r="Y71">
        <v>0.625</v>
      </c>
      <c r="Z71" t="s">
        <v>42</v>
      </c>
      <c r="AA71" t="s">
        <v>215</v>
      </c>
      <c r="AB71">
        <v>7.5830000000000002</v>
      </c>
      <c r="AC71">
        <v>18.433</v>
      </c>
      <c r="AD71">
        <v>42.25</v>
      </c>
      <c r="AE71">
        <v>151916992</v>
      </c>
      <c r="AF71">
        <v>242.23599999999999</v>
      </c>
      <c r="AG71">
        <v>37.606999999999999</v>
      </c>
      <c r="AH71">
        <v>3.0591655000000002</v>
      </c>
      <c r="AI71">
        <v>1.0710000000000001E-2</v>
      </c>
      <c r="AJ71">
        <v>142154465280</v>
      </c>
      <c r="AK71">
        <v>0.23200000000000001</v>
      </c>
      <c r="AL71">
        <v>1.8</v>
      </c>
      <c r="AM71">
        <v>17.539408000000002</v>
      </c>
      <c r="AN71">
        <v>112576561152</v>
      </c>
    </row>
    <row r="72" spans="1:40" x14ac:dyDescent="0.3">
      <c r="A72" s="1">
        <v>79</v>
      </c>
      <c r="B72" t="s">
        <v>216</v>
      </c>
      <c r="C72" t="s">
        <v>165</v>
      </c>
      <c r="D72">
        <v>2.631E-2</v>
      </c>
      <c r="E72">
        <v>-6.7460000000000006E-2</v>
      </c>
      <c r="F72">
        <v>8.6249999999999993E-2</v>
      </c>
      <c r="G72">
        <v>-3416000000</v>
      </c>
      <c r="H72">
        <v>-3.3000000000000002E-2</v>
      </c>
      <c r="I72">
        <v>-8.1099999999999992E-3</v>
      </c>
      <c r="J72">
        <v>1639000064</v>
      </c>
      <c r="K72">
        <v>5372000000</v>
      </c>
      <c r="L72">
        <v>-622875008</v>
      </c>
      <c r="M72">
        <v>188.95</v>
      </c>
      <c r="O72">
        <v>1.325</v>
      </c>
      <c r="P72">
        <v>-2.1700000000000001E-3</v>
      </c>
      <c r="S72">
        <v>16243999744</v>
      </c>
      <c r="T72">
        <v>59640999936</v>
      </c>
      <c r="U72">
        <v>62286000128</v>
      </c>
      <c r="V72">
        <v>27.863</v>
      </c>
      <c r="W72" t="s">
        <v>40</v>
      </c>
      <c r="X72">
        <v>105.929</v>
      </c>
      <c r="Y72">
        <v>0.33700000000000002</v>
      </c>
      <c r="Z72" t="s">
        <v>42</v>
      </c>
      <c r="AA72" t="s">
        <v>217</v>
      </c>
      <c r="AB72">
        <v>2.6829999999999998</v>
      </c>
      <c r="AC72">
        <v>101.952</v>
      </c>
      <c r="AD72">
        <v>4.76</v>
      </c>
      <c r="AE72">
        <v>587699008</v>
      </c>
      <c r="AF72">
        <v>-24.58</v>
      </c>
      <c r="AG72">
        <v>-14.510999999999999</v>
      </c>
      <c r="AI72">
        <v>9.5E-4</v>
      </c>
      <c r="AJ72">
        <v>167099318272</v>
      </c>
      <c r="AL72">
        <v>-5.13</v>
      </c>
      <c r="AM72">
        <v>39.695377000000001</v>
      </c>
      <c r="AN72">
        <v>111045722112</v>
      </c>
    </row>
    <row r="73" spans="1:40" x14ac:dyDescent="0.3">
      <c r="A73" s="1">
        <v>80</v>
      </c>
      <c r="B73" t="s">
        <v>219</v>
      </c>
      <c r="C73" t="s">
        <v>218</v>
      </c>
      <c r="D73">
        <v>0.63285000000000002</v>
      </c>
      <c r="E73">
        <v>0.27445000000000003</v>
      </c>
      <c r="F73">
        <v>0.72116000000000002</v>
      </c>
      <c r="G73">
        <v>5273299968</v>
      </c>
      <c r="H73">
        <v>0.219</v>
      </c>
      <c r="I73">
        <v>0.39266000000000001</v>
      </c>
      <c r="J73">
        <v>5717300224</v>
      </c>
      <c r="K73">
        <v>5814300000</v>
      </c>
      <c r="L73">
        <v>5150612480</v>
      </c>
      <c r="M73">
        <v>240.69</v>
      </c>
      <c r="N73">
        <v>0.51900000000000002</v>
      </c>
      <c r="O73">
        <v>0.77300000000000002</v>
      </c>
      <c r="P73">
        <v>4.3479999999999998E-2</v>
      </c>
      <c r="Q73">
        <v>434.983</v>
      </c>
      <c r="R73">
        <v>0.34477999999999998</v>
      </c>
      <c r="S73">
        <v>3277199872</v>
      </c>
      <c r="T73">
        <v>42142900224</v>
      </c>
      <c r="U73">
        <v>9034200064</v>
      </c>
      <c r="V73">
        <v>7.1959999999999997</v>
      </c>
      <c r="W73" t="s">
        <v>40</v>
      </c>
      <c r="X73">
        <v>20.135000000000002</v>
      </c>
      <c r="Y73">
        <v>0.66800000000000004</v>
      </c>
      <c r="Z73" t="s">
        <v>42</v>
      </c>
      <c r="AA73" t="s">
        <v>220</v>
      </c>
      <c r="AB73">
        <v>19.03</v>
      </c>
      <c r="AC73">
        <v>30.07</v>
      </c>
      <c r="AD73">
        <v>5.46</v>
      </c>
      <c r="AE73">
        <v>455414016</v>
      </c>
      <c r="AF73">
        <v>11.882</v>
      </c>
      <c r="AG73">
        <v>5.5069999999999997</v>
      </c>
      <c r="AH73">
        <v>20.256691</v>
      </c>
      <c r="AI73">
        <v>3.0599999999999998E-3</v>
      </c>
      <c r="AJ73">
        <v>171920228352</v>
      </c>
      <c r="AK73">
        <v>0.55700000000000005</v>
      </c>
      <c r="AL73">
        <v>2.96</v>
      </c>
      <c r="AM73">
        <v>44.082417</v>
      </c>
      <c r="AN73">
        <v>109613596672</v>
      </c>
    </row>
    <row r="74" spans="1:40" x14ac:dyDescent="0.3">
      <c r="A74" s="1">
        <v>81</v>
      </c>
      <c r="B74" t="s">
        <v>221</v>
      </c>
      <c r="C74" t="s">
        <v>98</v>
      </c>
      <c r="D74">
        <v>0.39200002</v>
      </c>
      <c r="E74">
        <v>8.3960000000000007E-2</v>
      </c>
      <c r="F74">
        <v>0.44784000000000002</v>
      </c>
      <c r="G74">
        <v>16161999872</v>
      </c>
      <c r="H74">
        <v>9.1999999999999998E-2</v>
      </c>
      <c r="I74">
        <v>0.20658001000000001</v>
      </c>
      <c r="J74">
        <v>20028999680</v>
      </c>
      <c r="K74">
        <v>21198000000</v>
      </c>
      <c r="L74">
        <v>6336875008</v>
      </c>
      <c r="M74">
        <v>558.26</v>
      </c>
      <c r="N74">
        <v>0.66700000000000004</v>
      </c>
      <c r="O74">
        <v>0.28599999999999998</v>
      </c>
      <c r="P74">
        <v>4.6019999999999998E-2</v>
      </c>
      <c r="Q74">
        <v>417.43</v>
      </c>
      <c r="R74">
        <v>0.17694001000000001</v>
      </c>
      <c r="S74">
        <v>466000000</v>
      </c>
      <c r="T74">
        <v>89856000000</v>
      </c>
      <c r="U74">
        <v>51093999616</v>
      </c>
      <c r="V74">
        <v>2.5990000000000002</v>
      </c>
      <c r="W74" t="s">
        <v>40</v>
      </c>
      <c r="X74">
        <v>270.33800000000002</v>
      </c>
      <c r="Y74">
        <v>0.254</v>
      </c>
      <c r="Z74" t="s">
        <v>42</v>
      </c>
      <c r="AA74" t="s">
        <v>222</v>
      </c>
      <c r="AB74">
        <v>4.03</v>
      </c>
      <c r="AC74">
        <v>10.281000000000001</v>
      </c>
      <c r="AD74">
        <v>31.27</v>
      </c>
      <c r="AE74">
        <v>179291008</v>
      </c>
      <c r="AF74">
        <v>94.984999999999999</v>
      </c>
      <c r="AG74">
        <v>21.943000000000001</v>
      </c>
      <c r="AH74">
        <v>5.8773489999999997</v>
      </c>
      <c r="AI74">
        <v>0.31859999999999999</v>
      </c>
      <c r="AJ74">
        <v>205917814784</v>
      </c>
      <c r="AK74">
        <v>0.495</v>
      </c>
      <c r="AL74">
        <v>0.77</v>
      </c>
      <c r="AM74">
        <v>17.852893999999999</v>
      </c>
      <c r="AN74">
        <v>100091002880</v>
      </c>
    </row>
    <row r="75" spans="1:40" x14ac:dyDescent="0.3">
      <c r="A75" s="1">
        <v>82</v>
      </c>
      <c r="B75" t="s">
        <v>224</v>
      </c>
      <c r="C75" t="s">
        <v>223</v>
      </c>
      <c r="D75">
        <v>9.1929999999999998E-2</v>
      </c>
      <c r="E75">
        <v>-5.1999999999999995E-4</v>
      </c>
      <c r="F75">
        <v>0.18652001000000001</v>
      </c>
      <c r="G75">
        <v>4557000192</v>
      </c>
      <c r="H75">
        <v>-5.0000000000000001E-3</v>
      </c>
      <c r="I75">
        <v>2.2550002E-2</v>
      </c>
      <c r="J75">
        <v>7228000256</v>
      </c>
      <c r="K75">
        <v>13514000000</v>
      </c>
      <c r="L75">
        <v>7676375040</v>
      </c>
      <c r="M75">
        <v>94.02</v>
      </c>
      <c r="O75">
        <v>1.796</v>
      </c>
      <c r="P75">
        <v>4.5100000000000001E-3</v>
      </c>
      <c r="Q75">
        <v>169.12299999999999</v>
      </c>
      <c r="R75">
        <v>4.8779997999999998E-2</v>
      </c>
      <c r="S75">
        <v>20795000832</v>
      </c>
      <c r="T75">
        <v>65891999744</v>
      </c>
      <c r="U75">
        <v>78621999104</v>
      </c>
      <c r="V75">
        <v>18.937000000000001</v>
      </c>
      <c r="W75" t="s">
        <v>40</v>
      </c>
      <c r="X75">
        <v>71.710999999999999</v>
      </c>
      <c r="Y75">
        <v>0.85499999999999998</v>
      </c>
      <c r="Z75" t="s">
        <v>42</v>
      </c>
      <c r="AA75" t="s">
        <v>225</v>
      </c>
      <c r="AB75">
        <v>1.98</v>
      </c>
      <c r="AC75">
        <v>21.542000000000002</v>
      </c>
      <c r="AD75">
        <v>3.97</v>
      </c>
      <c r="AE75">
        <v>1098140032</v>
      </c>
      <c r="AF75">
        <v>34.122</v>
      </c>
      <c r="AG75">
        <v>-0.41899999999999998</v>
      </c>
      <c r="AH75">
        <v>2.7554069000000001</v>
      </c>
      <c r="AI75">
        <v>2.4199999999999998E-3</v>
      </c>
      <c r="AJ75">
        <v>155708882944</v>
      </c>
      <c r="AL75">
        <v>6.96</v>
      </c>
      <c r="AM75">
        <v>23.68262</v>
      </c>
      <c r="AN75">
        <v>103247118336</v>
      </c>
    </row>
    <row r="76" spans="1:40" x14ac:dyDescent="0.3">
      <c r="A76" s="1">
        <v>83</v>
      </c>
      <c r="B76" t="s">
        <v>227</v>
      </c>
      <c r="C76" t="s">
        <v>226</v>
      </c>
      <c r="D76">
        <v>0.37273996999999998</v>
      </c>
      <c r="E76">
        <v>0.29852000000000001</v>
      </c>
      <c r="F76">
        <v>0.69324993999999995</v>
      </c>
      <c r="G76">
        <v>2089400064</v>
      </c>
      <c r="H76">
        <v>0.16700000000000001</v>
      </c>
      <c r="I76">
        <v>0.31891000000000003</v>
      </c>
      <c r="J76">
        <v>2128400000</v>
      </c>
      <c r="K76">
        <v>3958500000</v>
      </c>
      <c r="L76">
        <v>1597325056</v>
      </c>
      <c r="M76">
        <v>286.87</v>
      </c>
      <c r="N76">
        <v>2.4E-2</v>
      </c>
      <c r="O76">
        <v>5.0830000000000002</v>
      </c>
      <c r="P76">
        <v>9.2069999999999999E-2</v>
      </c>
      <c r="Q76">
        <v>0.72799999999999998</v>
      </c>
      <c r="R76">
        <v>0.15919</v>
      </c>
      <c r="S76">
        <v>4230899968</v>
      </c>
      <c r="T76">
        <v>87000000</v>
      </c>
      <c r="U76">
        <v>5710099968</v>
      </c>
      <c r="V76">
        <v>11.827</v>
      </c>
      <c r="W76" t="s">
        <v>40</v>
      </c>
      <c r="X76">
        <v>16.035</v>
      </c>
      <c r="Y76">
        <v>4.4560000000000004</v>
      </c>
      <c r="Z76" t="s">
        <v>42</v>
      </c>
      <c r="AA76" t="s">
        <v>228</v>
      </c>
      <c r="AB76">
        <v>17.62</v>
      </c>
      <c r="AC76">
        <v>47.271999999999998</v>
      </c>
      <c r="AD76">
        <v>5.57</v>
      </c>
      <c r="AE76">
        <v>357236992</v>
      </c>
      <c r="AF76">
        <v>31.945</v>
      </c>
      <c r="AG76">
        <v>4.6379999999999999</v>
      </c>
      <c r="AH76">
        <v>8.9801219999999997</v>
      </c>
      <c r="AI76">
        <v>1.01E-2</v>
      </c>
      <c r="AJ76">
        <v>100614602752</v>
      </c>
      <c r="AK76">
        <v>4.2000000000000003E-2</v>
      </c>
      <c r="AL76">
        <v>4.1500000000000004</v>
      </c>
      <c r="AM76">
        <v>51.502690000000001</v>
      </c>
      <c r="AN76">
        <v>102480576512</v>
      </c>
    </row>
    <row r="77" spans="1:40" x14ac:dyDescent="0.3">
      <c r="A77" s="1">
        <v>84</v>
      </c>
      <c r="B77" t="s">
        <v>229</v>
      </c>
      <c r="C77" t="s">
        <v>71</v>
      </c>
      <c r="D77">
        <v>0.10804</v>
      </c>
      <c r="E77">
        <v>6.5619999999999998E-2</v>
      </c>
      <c r="F77">
        <v>0.29459000000000002</v>
      </c>
      <c r="G77">
        <v>9077999616</v>
      </c>
      <c r="H77">
        <v>0.13300000000000001</v>
      </c>
      <c r="I77">
        <v>8.2989999999999994E-2</v>
      </c>
      <c r="J77">
        <v>11166000128</v>
      </c>
      <c r="K77">
        <v>27384000000</v>
      </c>
      <c r="L77">
        <v>5191249920</v>
      </c>
      <c r="M77">
        <v>218.61</v>
      </c>
      <c r="N77">
        <v>0.51200000000000001</v>
      </c>
      <c r="O77">
        <v>0.96699999999999997</v>
      </c>
      <c r="P77">
        <v>0.10204001</v>
      </c>
      <c r="Q77">
        <v>112.28700000000001</v>
      </c>
      <c r="R77">
        <v>0.50011002999999998</v>
      </c>
      <c r="S77">
        <v>5765000192</v>
      </c>
      <c r="T77">
        <v>15498999808</v>
      </c>
      <c r="U77">
        <v>103348002816</v>
      </c>
      <c r="V77">
        <v>12.032</v>
      </c>
      <c r="W77" t="s">
        <v>40</v>
      </c>
      <c r="X77">
        <v>209.08</v>
      </c>
      <c r="Y77">
        <v>0.247</v>
      </c>
      <c r="Z77" t="s">
        <v>42</v>
      </c>
      <c r="AA77" t="s">
        <v>230</v>
      </c>
      <c r="AB77">
        <v>0.98199999999999998</v>
      </c>
      <c r="AC77">
        <v>9.0909999999999993</v>
      </c>
      <c r="AD77">
        <v>13.38</v>
      </c>
      <c r="AE77">
        <v>479124000</v>
      </c>
      <c r="AF77">
        <v>28.702000000000002</v>
      </c>
      <c r="AG77">
        <v>13.587</v>
      </c>
      <c r="AH77">
        <v>7.6165422999999999</v>
      </c>
      <c r="AI77">
        <v>1.8099998999999999E-3</v>
      </c>
      <c r="AJ77">
        <v>101510184960</v>
      </c>
      <c r="AK77">
        <v>0.46700000000000003</v>
      </c>
      <c r="AL77">
        <v>1.19</v>
      </c>
      <c r="AM77">
        <v>16.338566</v>
      </c>
      <c r="AN77">
        <v>104741298176</v>
      </c>
    </row>
    <row r="78" spans="1:40" x14ac:dyDescent="0.3">
      <c r="A78" s="1">
        <v>85</v>
      </c>
      <c r="B78" t="s">
        <v>231</v>
      </c>
      <c r="C78" t="s">
        <v>141</v>
      </c>
      <c r="D78">
        <v>0.21246000000000001</v>
      </c>
      <c r="E78">
        <v>0.14468998999999999</v>
      </c>
      <c r="F78">
        <v>0.28739999999999999</v>
      </c>
      <c r="G78">
        <v>6024300032</v>
      </c>
      <c r="H78">
        <v>0.193</v>
      </c>
      <c r="I78">
        <v>0.16233</v>
      </c>
      <c r="J78">
        <v>6450699776</v>
      </c>
      <c r="K78">
        <v>8435400000</v>
      </c>
      <c r="L78">
        <v>4055624960</v>
      </c>
      <c r="M78">
        <v>87.45</v>
      </c>
      <c r="N78">
        <v>0.30299999999999999</v>
      </c>
      <c r="O78">
        <v>0.81299999999999994</v>
      </c>
      <c r="P78">
        <v>0.104770005</v>
      </c>
      <c r="S78">
        <v>4056800000</v>
      </c>
      <c r="T78">
        <v>23747500032</v>
      </c>
      <c r="U78">
        <v>30361600000</v>
      </c>
      <c r="V78">
        <v>3.5270000000000001</v>
      </c>
      <c r="W78" t="s">
        <v>40</v>
      </c>
      <c r="X78">
        <v>25.812000000000001</v>
      </c>
      <c r="Y78">
        <v>0.58399999999999996</v>
      </c>
      <c r="Z78" t="s">
        <v>42</v>
      </c>
      <c r="AA78" t="s">
        <v>232</v>
      </c>
      <c r="AB78">
        <v>4.0599999999999996</v>
      </c>
      <c r="AC78">
        <v>19.108000000000001</v>
      </c>
      <c r="AI78">
        <v>1.74E-3</v>
      </c>
      <c r="AJ78">
        <v>123259109376</v>
      </c>
      <c r="AK78">
        <v>0.311</v>
      </c>
    </row>
    <row r="79" spans="1:40" x14ac:dyDescent="0.3">
      <c r="A79" s="1">
        <v>86</v>
      </c>
      <c r="B79" t="s">
        <v>233</v>
      </c>
      <c r="C79" t="s">
        <v>74</v>
      </c>
      <c r="D79">
        <v>0.23202998999999999</v>
      </c>
      <c r="E79">
        <v>0.17829001</v>
      </c>
      <c r="F79">
        <v>0.76197999999999999</v>
      </c>
      <c r="G79">
        <v>3192000000</v>
      </c>
      <c r="H79">
        <v>0.23300000000000001</v>
      </c>
      <c r="I79">
        <v>0.19225999999999999</v>
      </c>
      <c r="J79">
        <v>3955000064</v>
      </c>
      <c r="K79">
        <v>12391000000</v>
      </c>
      <c r="L79">
        <v>2091874944</v>
      </c>
      <c r="M79">
        <v>274.89</v>
      </c>
      <c r="N79">
        <v>0.32400000000000001</v>
      </c>
      <c r="O79">
        <v>1.7829999999999999</v>
      </c>
      <c r="P79">
        <v>0.10375</v>
      </c>
      <c r="Q79">
        <v>114.934</v>
      </c>
      <c r="R79">
        <v>0.53242999999999996</v>
      </c>
      <c r="S79">
        <v>4004000000</v>
      </c>
      <c r="T79">
        <v>7996000256</v>
      </c>
      <c r="U79">
        <v>17045000192</v>
      </c>
      <c r="V79">
        <v>11.124000000000001</v>
      </c>
      <c r="W79" t="s">
        <v>40</v>
      </c>
      <c r="X79">
        <v>46.966000000000001</v>
      </c>
      <c r="Y79">
        <v>1.179</v>
      </c>
      <c r="Z79" t="s">
        <v>42</v>
      </c>
      <c r="AA79" t="s">
        <v>234</v>
      </c>
      <c r="AB79">
        <v>8.1379999999999999</v>
      </c>
      <c r="AC79">
        <v>35.073999999999998</v>
      </c>
      <c r="AD79">
        <v>8.5299999999999994</v>
      </c>
      <c r="AE79">
        <v>231704992</v>
      </c>
      <c r="AF79">
        <v>16.861000000000001</v>
      </c>
      <c r="AG79">
        <v>8.2479999999999993</v>
      </c>
      <c r="AH79">
        <v>16.303305000000002</v>
      </c>
      <c r="AI79">
        <v>7.3699999999999998E-3</v>
      </c>
      <c r="AJ79">
        <v>138718035968</v>
      </c>
      <c r="AK79">
        <v>0.32300000000000001</v>
      </c>
      <c r="AL79">
        <v>3.39</v>
      </c>
      <c r="AM79">
        <v>32.226260000000003</v>
      </c>
      <c r="AN79">
        <v>98945835008</v>
      </c>
    </row>
    <row r="80" spans="1:40" x14ac:dyDescent="0.3">
      <c r="A80" s="1">
        <v>87</v>
      </c>
      <c r="B80" t="s">
        <v>235</v>
      </c>
      <c r="C80" t="s">
        <v>126</v>
      </c>
      <c r="D80">
        <v>0.27800000000000002</v>
      </c>
      <c r="E80">
        <v>0.113979995</v>
      </c>
      <c r="F80">
        <v>0.65672993999999996</v>
      </c>
      <c r="G80">
        <v>3500000000</v>
      </c>
      <c r="H80">
        <v>0.113</v>
      </c>
      <c r="I80">
        <v>0.21951000000000001</v>
      </c>
      <c r="J80">
        <v>4633999872</v>
      </c>
      <c r="K80">
        <v>9158000000</v>
      </c>
      <c r="L80">
        <v>3139749888</v>
      </c>
      <c r="M80">
        <v>266</v>
      </c>
      <c r="N80">
        <v>-0.30099999999999999</v>
      </c>
      <c r="O80">
        <v>2.1259999999999999</v>
      </c>
      <c r="P80">
        <v>6.8849999999999995E-2</v>
      </c>
      <c r="Q80">
        <v>92.093000000000004</v>
      </c>
      <c r="R80">
        <v>0.13988999999999999</v>
      </c>
      <c r="S80">
        <v>2639000064</v>
      </c>
      <c r="T80">
        <v>13057000448</v>
      </c>
      <c r="U80">
        <v>16668999680</v>
      </c>
      <c r="V80">
        <v>6.9960000000000004</v>
      </c>
      <c r="W80" t="s">
        <v>40</v>
      </c>
      <c r="X80">
        <v>44.259</v>
      </c>
      <c r="Y80">
        <v>1.226</v>
      </c>
      <c r="Z80" t="s">
        <v>42</v>
      </c>
      <c r="AA80" t="s">
        <v>236</v>
      </c>
      <c r="AB80">
        <v>6.9109999999999996</v>
      </c>
      <c r="AC80">
        <v>24.861000000000001</v>
      </c>
      <c r="AD80">
        <v>10.17</v>
      </c>
      <c r="AE80">
        <v>377240000</v>
      </c>
      <c r="AF80">
        <v>37.584000000000003</v>
      </c>
      <c r="AG80">
        <v>4.968</v>
      </c>
      <c r="AH80">
        <v>7.0774800000000004</v>
      </c>
      <c r="AI80">
        <v>7.3169999999999999E-2</v>
      </c>
      <c r="AJ80">
        <v>115203940352</v>
      </c>
      <c r="AK80">
        <v>-0.29499999999999998</v>
      </c>
      <c r="AL80">
        <v>2.29</v>
      </c>
      <c r="AM80">
        <v>26.155360000000002</v>
      </c>
      <c r="AN80">
        <v>100345839616</v>
      </c>
    </row>
    <row r="81" spans="1:40" x14ac:dyDescent="0.3">
      <c r="A81" s="1">
        <v>88</v>
      </c>
      <c r="B81" t="s">
        <v>237</v>
      </c>
      <c r="C81" t="s">
        <v>172</v>
      </c>
      <c r="D81">
        <v>0.57589999999999997</v>
      </c>
      <c r="E81">
        <v>0.13164000000000001</v>
      </c>
      <c r="F81">
        <v>0.65673999999999999</v>
      </c>
      <c r="G81">
        <v>8282999808</v>
      </c>
      <c r="H81">
        <v>-2.5999999999999999E-2</v>
      </c>
      <c r="I81">
        <v>0.56380003999999995</v>
      </c>
      <c r="J81">
        <v>12140000256</v>
      </c>
      <c r="K81">
        <v>13488000000</v>
      </c>
      <c r="L81">
        <v>6223374848</v>
      </c>
      <c r="M81">
        <v>53.62</v>
      </c>
      <c r="O81">
        <v>0.74199999999999999</v>
      </c>
      <c r="P81">
        <v>0.17232001</v>
      </c>
      <c r="R81">
        <v>2.7119799000000002</v>
      </c>
      <c r="S81">
        <v>2956999936</v>
      </c>
      <c r="T81">
        <v>28127000576</v>
      </c>
      <c r="U81">
        <v>21080000512</v>
      </c>
      <c r="V81">
        <v>1.61</v>
      </c>
      <c r="W81" t="s">
        <v>40</v>
      </c>
      <c r="X81">
        <v>11.387</v>
      </c>
      <c r="Y81">
        <v>0.36899999999999999</v>
      </c>
      <c r="Z81" t="s">
        <v>42</v>
      </c>
      <c r="AA81" t="s">
        <v>238</v>
      </c>
      <c r="AB81">
        <v>5.593</v>
      </c>
      <c r="AC81">
        <v>9.7119999999999997</v>
      </c>
      <c r="AD81">
        <v>4.83</v>
      </c>
      <c r="AE81">
        <v>1836989952</v>
      </c>
      <c r="AF81">
        <v>-0.68899999999999995</v>
      </c>
      <c r="AG81">
        <v>1.494</v>
      </c>
      <c r="AI81">
        <v>1E-3</v>
      </c>
      <c r="AJ81">
        <v>117905457152</v>
      </c>
      <c r="AL81">
        <v>2.06</v>
      </c>
      <c r="AM81">
        <v>11.101449000000001</v>
      </c>
      <c r="AN81">
        <v>98499395584</v>
      </c>
    </row>
    <row r="82" spans="1:40" x14ac:dyDescent="0.3">
      <c r="A82" s="1">
        <v>89</v>
      </c>
      <c r="B82" t="s">
        <v>240</v>
      </c>
      <c r="C82" t="s">
        <v>239</v>
      </c>
      <c r="D82">
        <v>0.22017998999999999</v>
      </c>
      <c r="E82">
        <v>4.1450000000000001E-2</v>
      </c>
      <c r="F82">
        <v>0.74974996000000005</v>
      </c>
      <c r="G82">
        <v>1964000000</v>
      </c>
      <c r="H82">
        <v>0.77100000000000002</v>
      </c>
      <c r="I82">
        <v>0.17276</v>
      </c>
      <c r="J82">
        <v>2028999936</v>
      </c>
      <c r="K82">
        <v>4852000000</v>
      </c>
      <c r="L82">
        <v>2417874944</v>
      </c>
      <c r="M82">
        <v>2247.9299999999998</v>
      </c>
      <c r="N82">
        <v>-4.5999999999999999E-2</v>
      </c>
      <c r="O82">
        <v>2.4830000000000001</v>
      </c>
      <c r="P82">
        <v>4.3749999999999997E-2</v>
      </c>
      <c r="Q82">
        <v>208.00700000000001</v>
      </c>
      <c r="R82">
        <v>7.3050000000000004E-2</v>
      </c>
      <c r="S82">
        <v>12165000192</v>
      </c>
      <c r="T82">
        <v>11534000128</v>
      </c>
      <c r="U82">
        <v>9214999552</v>
      </c>
      <c r="V82">
        <v>296.24900000000002</v>
      </c>
      <c r="W82" t="s">
        <v>40</v>
      </c>
      <c r="X82">
        <v>224.697</v>
      </c>
      <c r="Y82">
        <v>2.3740000000000001</v>
      </c>
      <c r="Z82" t="s">
        <v>42</v>
      </c>
      <c r="AA82" t="s">
        <v>241</v>
      </c>
      <c r="AB82">
        <v>10.916</v>
      </c>
      <c r="AC82">
        <v>49.575000000000003</v>
      </c>
      <c r="AD82">
        <v>100.38</v>
      </c>
      <c r="AE82">
        <v>41059800</v>
      </c>
      <c r="AF82">
        <v>135.035</v>
      </c>
      <c r="AG82">
        <v>9.25</v>
      </c>
      <c r="AH82">
        <v>16.647017000000002</v>
      </c>
      <c r="AI82">
        <v>2.3999999000000002E-3</v>
      </c>
      <c r="AJ82">
        <v>100587618304</v>
      </c>
      <c r="AK82">
        <v>-0.04</v>
      </c>
      <c r="AL82">
        <v>0.27</v>
      </c>
      <c r="AM82">
        <v>22.394200999999999</v>
      </c>
      <c r="AN82">
        <v>92299550720</v>
      </c>
    </row>
    <row r="83" spans="1:40" x14ac:dyDescent="0.3">
      <c r="A83" s="1">
        <v>90</v>
      </c>
      <c r="B83" t="s">
        <v>243</v>
      </c>
      <c r="C83" t="s">
        <v>242</v>
      </c>
      <c r="D83">
        <v>0.26082</v>
      </c>
      <c r="E83">
        <v>0.17480000000000001</v>
      </c>
      <c r="F83">
        <v>0.44929999999999998</v>
      </c>
      <c r="G83">
        <v>3120600064</v>
      </c>
      <c r="H83">
        <v>8.8999999999999996E-2</v>
      </c>
      <c r="I83">
        <v>0.22842999999999999</v>
      </c>
      <c r="J83">
        <v>4094000128</v>
      </c>
      <c r="K83">
        <v>6768100000</v>
      </c>
      <c r="L83">
        <v>3923987456</v>
      </c>
      <c r="M83">
        <v>219.04</v>
      </c>
      <c r="N83">
        <v>9.2999999999999999E-2</v>
      </c>
      <c r="O83">
        <v>1.0409999999999999</v>
      </c>
      <c r="P83">
        <v>4.1329999999999999E-2</v>
      </c>
      <c r="Q83">
        <v>68.328000000000003</v>
      </c>
      <c r="R83">
        <v>0.50117</v>
      </c>
      <c r="S83">
        <v>1764700032</v>
      </c>
      <c r="T83">
        <v>3450299904</v>
      </c>
      <c r="U83">
        <v>15696600064</v>
      </c>
      <c r="V83">
        <v>4.2009999999999996</v>
      </c>
      <c r="W83" t="s">
        <v>40</v>
      </c>
      <c r="X83">
        <v>37.143000000000001</v>
      </c>
      <c r="Y83">
        <v>9.1999999999999998E-2</v>
      </c>
      <c r="Z83" t="s">
        <v>42</v>
      </c>
      <c r="AA83" t="s">
        <v>244</v>
      </c>
      <c r="AB83">
        <v>5.6710000000000003</v>
      </c>
      <c r="AC83">
        <v>21.742000000000001</v>
      </c>
      <c r="AD83">
        <v>7.47</v>
      </c>
      <c r="AE83">
        <v>421384000</v>
      </c>
      <c r="AF83">
        <v>12.679</v>
      </c>
      <c r="AG83">
        <v>6.32</v>
      </c>
      <c r="AH83">
        <v>17.27581</v>
      </c>
      <c r="AI83">
        <v>1.0200000000000001E-3</v>
      </c>
      <c r="AJ83">
        <v>89013010432</v>
      </c>
      <c r="AK83">
        <v>7.1999999999999995E-2</v>
      </c>
      <c r="AL83">
        <v>2.58</v>
      </c>
      <c r="AM83">
        <v>29.322624000000001</v>
      </c>
      <c r="AN83">
        <v>92299952128</v>
      </c>
    </row>
    <row r="84" spans="1:40" x14ac:dyDescent="0.3">
      <c r="A84" s="1">
        <v>91</v>
      </c>
      <c r="B84" t="s">
        <v>246</v>
      </c>
      <c r="C84" t="s">
        <v>245</v>
      </c>
      <c r="D84">
        <v>0.20179</v>
      </c>
      <c r="E84">
        <v>0.21836</v>
      </c>
      <c r="F84">
        <v>0.28233999999999998</v>
      </c>
      <c r="G84">
        <v>11093000192</v>
      </c>
      <c r="H84">
        <v>0.14000000000000001</v>
      </c>
      <c r="I84">
        <v>0.19464001</v>
      </c>
      <c r="J84">
        <v>8146999808</v>
      </c>
      <c r="K84">
        <v>7110000000</v>
      </c>
      <c r="L84">
        <v>12054750208</v>
      </c>
      <c r="M84">
        <v>217.78</v>
      </c>
      <c r="N84">
        <v>0.58899999999999997</v>
      </c>
      <c r="O84">
        <v>0.34200000000000003</v>
      </c>
      <c r="P84">
        <v>2.5390000999999999E-2</v>
      </c>
      <c r="Q84">
        <v>32.665999999999997</v>
      </c>
      <c r="R84">
        <v>0.15235000000000001</v>
      </c>
      <c r="S84">
        <v>5149000192</v>
      </c>
      <c r="T84">
        <v>19377000448</v>
      </c>
      <c r="U84">
        <v>40372998144</v>
      </c>
      <c r="V84">
        <v>11.954000000000001</v>
      </c>
      <c r="W84" t="s">
        <v>40</v>
      </c>
      <c r="X84">
        <v>90.617000000000004</v>
      </c>
      <c r="Y84">
        <v>0.152</v>
      </c>
      <c r="Z84" t="s">
        <v>42</v>
      </c>
      <c r="AA84" t="s">
        <v>247</v>
      </c>
      <c r="AB84">
        <v>2.5670000000000002</v>
      </c>
      <c r="AC84">
        <v>12.718999999999999</v>
      </c>
      <c r="AD84">
        <v>14.45</v>
      </c>
      <c r="AE84">
        <v>430740992</v>
      </c>
      <c r="AF84">
        <v>137.66800000000001</v>
      </c>
      <c r="AG84">
        <v>19.670000000000002</v>
      </c>
      <c r="AH84">
        <v>1.5819217000000001</v>
      </c>
      <c r="AI84">
        <v>4.7200000000000002E-3</v>
      </c>
      <c r="AJ84">
        <v>103619739648</v>
      </c>
      <c r="AK84">
        <v>0.53500000000000003</v>
      </c>
      <c r="AL84">
        <v>0.52</v>
      </c>
      <c r="AM84">
        <v>15.0712805</v>
      </c>
      <c r="AN84">
        <v>93806772224</v>
      </c>
    </row>
    <row r="85" spans="1:40" x14ac:dyDescent="0.3">
      <c r="A85" s="1">
        <v>92</v>
      </c>
      <c r="B85" t="s">
        <v>249</v>
      </c>
      <c r="C85" t="s">
        <v>248</v>
      </c>
      <c r="D85">
        <v>0.41242000000000001</v>
      </c>
      <c r="E85">
        <v>0.26196000000000003</v>
      </c>
      <c r="F85">
        <v>0.70486000000000004</v>
      </c>
      <c r="G85">
        <v>2212999936</v>
      </c>
      <c r="H85">
        <v>8.8999999999999996E-2</v>
      </c>
      <c r="I85">
        <v>0.36150001999999998</v>
      </c>
      <c r="J85">
        <v>3207000064</v>
      </c>
      <c r="K85">
        <v>5481000000</v>
      </c>
      <c r="L85">
        <v>1407874944</v>
      </c>
      <c r="M85">
        <v>189.43</v>
      </c>
      <c r="N85">
        <v>0.159</v>
      </c>
      <c r="O85">
        <v>3.8559999999999999</v>
      </c>
      <c r="P85">
        <v>0.12773000000000001</v>
      </c>
      <c r="Q85">
        <v>149.47200000000001</v>
      </c>
      <c r="R85">
        <v>0.48911998000000001</v>
      </c>
      <c r="S85">
        <v>3496999936</v>
      </c>
      <c r="T85">
        <v>6792000000</v>
      </c>
      <c r="U85">
        <v>7776000000</v>
      </c>
      <c r="V85">
        <v>7.4089999999999998</v>
      </c>
      <c r="W85" t="s">
        <v>40</v>
      </c>
      <c r="X85">
        <v>16.393000000000001</v>
      </c>
      <c r="Y85">
        <v>2.577</v>
      </c>
      <c r="Z85" t="s">
        <v>42</v>
      </c>
      <c r="AA85" t="s">
        <v>250</v>
      </c>
      <c r="AB85">
        <v>12.371</v>
      </c>
      <c r="AC85">
        <v>29.995999999999999</v>
      </c>
      <c r="AD85">
        <v>5.19</v>
      </c>
      <c r="AE85">
        <v>473126016</v>
      </c>
      <c r="AF85">
        <v>9.8840000000000003</v>
      </c>
      <c r="AG85">
        <v>4.149</v>
      </c>
      <c r="AH85">
        <v>19.165317999999999</v>
      </c>
      <c r="AI85">
        <v>2.3600000000000001E-3</v>
      </c>
      <c r="AJ85">
        <v>96198688768</v>
      </c>
      <c r="AK85">
        <v>0.153</v>
      </c>
      <c r="AL85">
        <v>3.84</v>
      </c>
      <c r="AM85">
        <v>36.499034999999999</v>
      </c>
      <c r="AN85">
        <v>89624256512</v>
      </c>
    </row>
    <row r="86" spans="1:40" x14ac:dyDescent="0.3">
      <c r="A86" s="1">
        <v>93</v>
      </c>
      <c r="B86" t="s">
        <v>251</v>
      </c>
      <c r="C86" t="s">
        <v>179</v>
      </c>
      <c r="D86">
        <v>0.64273999999999998</v>
      </c>
      <c r="E86">
        <v>0.52595999999999998</v>
      </c>
      <c r="F86">
        <v>1</v>
      </c>
      <c r="G86">
        <v>2394400000</v>
      </c>
      <c r="H86">
        <v>2.8000000000000001E-2</v>
      </c>
      <c r="I86">
        <v>0.55388999999999999</v>
      </c>
      <c r="J86">
        <v>2975899904</v>
      </c>
      <c r="K86">
        <v>4870300000</v>
      </c>
      <c r="L86">
        <v>1755924992</v>
      </c>
      <c r="M86">
        <v>247.72</v>
      </c>
      <c r="N86">
        <v>1.2430000000000001</v>
      </c>
      <c r="O86">
        <v>1.008</v>
      </c>
      <c r="P86">
        <v>1.026E-2</v>
      </c>
      <c r="Q86">
        <v>14.81</v>
      </c>
      <c r="R86">
        <v>8.9750010000000005E-2</v>
      </c>
      <c r="S86">
        <v>1569699968</v>
      </c>
      <c r="T86">
        <v>4040499968</v>
      </c>
      <c r="U86">
        <v>4630000128</v>
      </c>
      <c r="V86">
        <v>4.3680000000000003</v>
      </c>
      <c r="W86" t="s">
        <v>40</v>
      </c>
      <c r="X86">
        <v>12.926</v>
      </c>
      <c r="Y86">
        <v>1.4E-2</v>
      </c>
      <c r="Z86" t="s">
        <v>42</v>
      </c>
      <c r="AA86" t="s">
        <v>252</v>
      </c>
      <c r="AB86">
        <v>18.053999999999998</v>
      </c>
      <c r="AC86">
        <v>28.088999999999999</v>
      </c>
      <c r="AD86">
        <v>7.33</v>
      </c>
      <c r="AE86">
        <v>359396000</v>
      </c>
      <c r="AF86">
        <v>76.084000000000003</v>
      </c>
      <c r="AG86">
        <v>6.78</v>
      </c>
      <c r="AH86">
        <v>3.2558750000000001</v>
      </c>
      <c r="AI86">
        <v>4.4000000000000003E-3</v>
      </c>
      <c r="AJ86">
        <v>83590815744</v>
      </c>
      <c r="AK86">
        <v>1.25</v>
      </c>
      <c r="AL86">
        <v>6.61</v>
      </c>
      <c r="AM86">
        <v>33.795360000000002</v>
      </c>
      <c r="AN86">
        <v>89030320128</v>
      </c>
    </row>
    <row r="87" spans="1:40" x14ac:dyDescent="0.3">
      <c r="A87" s="1">
        <v>94</v>
      </c>
      <c r="B87" t="s">
        <v>253</v>
      </c>
      <c r="C87" t="s">
        <v>57</v>
      </c>
      <c r="D87">
        <v>0.50605999999999995</v>
      </c>
      <c r="E87">
        <v>0.24861999000000001</v>
      </c>
      <c r="F87">
        <v>0.41531000000000001</v>
      </c>
      <c r="G87">
        <v>14439000064</v>
      </c>
      <c r="H87">
        <v>0.33200000000000002</v>
      </c>
      <c r="I87">
        <v>0.29004999999999997</v>
      </c>
      <c r="J87">
        <v>14988999680</v>
      </c>
      <c r="K87">
        <v>10472000000</v>
      </c>
      <c r="L87">
        <v>1410875008</v>
      </c>
      <c r="M87">
        <v>78.099999999999994</v>
      </c>
      <c r="N87">
        <v>1.873</v>
      </c>
      <c r="O87">
        <v>3.101</v>
      </c>
      <c r="P87">
        <v>9.3430004999999997E-2</v>
      </c>
      <c r="Q87">
        <v>16.561</v>
      </c>
      <c r="R87">
        <v>0.17163</v>
      </c>
      <c r="S87">
        <v>9580000256</v>
      </c>
      <c r="T87">
        <v>7602999808</v>
      </c>
      <c r="U87">
        <v>29618999296</v>
      </c>
      <c r="V87">
        <v>8.5549999999999997</v>
      </c>
      <c r="W87" t="s">
        <v>40</v>
      </c>
      <c r="X87">
        <v>26.422000000000001</v>
      </c>
      <c r="Y87">
        <v>2.2770000000000001</v>
      </c>
      <c r="Z87" t="s">
        <v>42</v>
      </c>
      <c r="AA87" t="s">
        <v>254</v>
      </c>
      <c r="AB87">
        <v>2.7949999999999999</v>
      </c>
      <c r="AC87">
        <v>5.5229999999999997</v>
      </c>
      <c r="AD87">
        <v>11.51</v>
      </c>
      <c r="AE87">
        <v>1120169984</v>
      </c>
      <c r="AF87">
        <v>41.026000000000003</v>
      </c>
      <c r="AG87">
        <v>6.4610000000000003</v>
      </c>
      <c r="AH87">
        <v>1.9036708</v>
      </c>
      <c r="AI87">
        <v>1.9300000000000001E-3</v>
      </c>
      <c r="AJ87">
        <v>82790129664</v>
      </c>
      <c r="AK87">
        <v>1.8720000000000001</v>
      </c>
      <c r="AL87">
        <v>0.45</v>
      </c>
      <c r="AM87">
        <v>6.7854036999999998</v>
      </c>
      <c r="AN87">
        <v>87485276160</v>
      </c>
    </row>
    <row r="88" spans="1:40" x14ac:dyDescent="0.3">
      <c r="A88" s="1">
        <v>95</v>
      </c>
      <c r="B88" t="s">
        <v>255</v>
      </c>
      <c r="C88" t="s">
        <v>57</v>
      </c>
      <c r="D88">
        <v>0.38916000000000001</v>
      </c>
      <c r="E88">
        <v>0.18998999999999999</v>
      </c>
      <c r="F88">
        <v>0.61831002999999995</v>
      </c>
      <c r="G88">
        <v>2735068928</v>
      </c>
      <c r="H88">
        <v>0.53300000000000003</v>
      </c>
      <c r="I88">
        <v>0.24232000000000001</v>
      </c>
      <c r="J88">
        <v>2848005888</v>
      </c>
      <c r="K88">
        <v>4525012000</v>
      </c>
      <c r="L88">
        <v>1119481856</v>
      </c>
      <c r="M88">
        <v>165.63</v>
      </c>
      <c r="N88">
        <v>-0.85499999999999998</v>
      </c>
      <c r="O88">
        <v>1.9410000000000001</v>
      </c>
      <c r="P88">
        <v>3.0040000000000001E-2</v>
      </c>
      <c r="Q88">
        <v>18.736000000000001</v>
      </c>
      <c r="R88">
        <v>5.5630001999999998E-2</v>
      </c>
      <c r="S88">
        <v>1977964032</v>
      </c>
      <c r="T88">
        <v>7118233088</v>
      </c>
      <c r="U88">
        <v>7318285824</v>
      </c>
      <c r="V88">
        <v>3.7650000000000001</v>
      </c>
      <c r="W88" t="s">
        <v>40</v>
      </c>
      <c r="X88">
        <v>18.413</v>
      </c>
      <c r="Y88">
        <v>1.2410000000000001</v>
      </c>
      <c r="Z88" t="s">
        <v>42</v>
      </c>
      <c r="AA88" t="s">
        <v>256</v>
      </c>
      <c r="AB88">
        <v>12.89</v>
      </c>
      <c r="AC88">
        <v>33.122</v>
      </c>
      <c r="AD88">
        <v>8.51</v>
      </c>
      <c r="AE88">
        <v>525331008</v>
      </c>
      <c r="AF88">
        <v>72.320999999999998</v>
      </c>
      <c r="AG88">
        <v>3.46</v>
      </c>
      <c r="AH88">
        <v>2.2902062000000001</v>
      </c>
      <c r="AI88">
        <v>2.0999999999999999E-3</v>
      </c>
      <c r="AJ88">
        <v>94330912768</v>
      </c>
      <c r="AK88">
        <v>-0.80400000000000005</v>
      </c>
      <c r="AL88">
        <v>1.57</v>
      </c>
      <c r="AM88">
        <v>19.462983999999999</v>
      </c>
      <c r="AN88">
        <v>87010574336</v>
      </c>
    </row>
    <row r="89" spans="1:40" x14ac:dyDescent="0.3">
      <c r="A89" s="1">
        <v>96</v>
      </c>
      <c r="B89" t="s">
        <v>258</v>
      </c>
      <c r="C89" t="s">
        <v>257</v>
      </c>
      <c r="D89">
        <v>0.21834000000000001</v>
      </c>
      <c r="E89">
        <v>0.15701999999999999</v>
      </c>
      <c r="F89">
        <v>0.3982</v>
      </c>
      <c r="G89">
        <v>4368999936</v>
      </c>
      <c r="H89">
        <v>7.8E-2</v>
      </c>
      <c r="I89">
        <v>0.17813998</v>
      </c>
      <c r="J89">
        <v>6192000000</v>
      </c>
      <c r="K89">
        <v>10446000000</v>
      </c>
      <c r="L89">
        <v>3557750016</v>
      </c>
      <c r="M89">
        <v>61.52</v>
      </c>
      <c r="N89">
        <v>0.14099999999999999</v>
      </c>
      <c r="O89">
        <v>0.73299999999999998</v>
      </c>
      <c r="P89">
        <v>4.7280002000000002E-2</v>
      </c>
      <c r="Q89">
        <v>73.834000000000003</v>
      </c>
      <c r="R89">
        <v>0.16311999999999999</v>
      </c>
      <c r="S89">
        <v>3400999936</v>
      </c>
      <c r="T89">
        <v>20491999232</v>
      </c>
      <c r="U89">
        <v>28359999488</v>
      </c>
      <c r="V89">
        <v>2.4380000000000002</v>
      </c>
      <c r="W89" t="s">
        <v>40</v>
      </c>
      <c r="X89">
        <v>20.091999999999999</v>
      </c>
      <c r="Y89">
        <v>0.47199999999999998</v>
      </c>
      <c r="Z89" t="s">
        <v>42</v>
      </c>
      <c r="AA89" t="s">
        <v>259</v>
      </c>
      <c r="AB89">
        <v>3.8730000000000002</v>
      </c>
      <c r="AC89">
        <v>17.739000000000001</v>
      </c>
      <c r="AD89">
        <v>3.1</v>
      </c>
      <c r="AE89">
        <v>1394969984</v>
      </c>
      <c r="AF89">
        <v>19.856999999999999</v>
      </c>
      <c r="AG89">
        <v>3.141</v>
      </c>
      <c r="AH89">
        <v>3.0981516999999998</v>
      </c>
      <c r="AI89">
        <v>1.2099999999999999E-3</v>
      </c>
      <c r="AJ89">
        <v>109842898944</v>
      </c>
      <c r="AK89">
        <v>0.124</v>
      </c>
      <c r="AL89">
        <v>2.62</v>
      </c>
      <c r="AM89">
        <v>19.845161000000001</v>
      </c>
      <c r="AN89">
        <v>85818556416</v>
      </c>
    </row>
    <row r="90" spans="1:40" x14ac:dyDescent="0.3">
      <c r="A90" s="1">
        <v>97</v>
      </c>
      <c r="B90" t="s">
        <v>260</v>
      </c>
      <c r="C90" t="s">
        <v>187</v>
      </c>
      <c r="D90">
        <v>0.28613</v>
      </c>
      <c r="E90">
        <v>0.16764000000000001</v>
      </c>
      <c r="F90">
        <v>0.48024</v>
      </c>
      <c r="G90">
        <v>7964000256</v>
      </c>
      <c r="H90">
        <v>7.0999999999999994E-2</v>
      </c>
      <c r="I90">
        <v>0.23218</v>
      </c>
      <c r="J90">
        <v>10108000256</v>
      </c>
      <c r="K90">
        <v>15685000000</v>
      </c>
      <c r="L90">
        <v>5780874752</v>
      </c>
      <c r="M90">
        <v>150.46</v>
      </c>
      <c r="N90">
        <v>0</v>
      </c>
      <c r="O90">
        <v>1.7050000000000001</v>
      </c>
      <c r="P90">
        <v>0.10945000000000001</v>
      </c>
      <c r="Q90">
        <v>130.81200000000001</v>
      </c>
      <c r="R90">
        <v>0.44799998000000002</v>
      </c>
      <c r="S90">
        <v>5734000128</v>
      </c>
      <c r="T90">
        <v>19007000576</v>
      </c>
      <c r="U90">
        <v>35326001152</v>
      </c>
      <c r="V90">
        <v>9.9499999999999993</v>
      </c>
      <c r="W90" t="s">
        <v>40</v>
      </c>
      <c r="X90">
        <v>60.914999999999999</v>
      </c>
      <c r="Y90">
        <v>1.105</v>
      </c>
      <c r="Z90" t="s">
        <v>42</v>
      </c>
      <c r="AA90" t="s">
        <v>261</v>
      </c>
      <c r="AB90">
        <v>3.3180000000000001</v>
      </c>
      <c r="AC90">
        <v>11.595000000000001</v>
      </c>
      <c r="AD90">
        <v>10.37</v>
      </c>
      <c r="AE90">
        <v>576252992</v>
      </c>
      <c r="AF90">
        <v>25.093</v>
      </c>
      <c r="AG90">
        <v>10.111000000000001</v>
      </c>
      <c r="AH90">
        <v>5.9960947000000004</v>
      </c>
      <c r="AI90">
        <v>1.1900000000000001E-3</v>
      </c>
      <c r="AJ90">
        <v>117201043456</v>
      </c>
      <c r="AK90">
        <v>3.0000000000000001E-3</v>
      </c>
      <c r="AL90">
        <v>2.37</v>
      </c>
      <c r="AM90">
        <v>14.509162</v>
      </c>
      <c r="AN90">
        <v>86703030272</v>
      </c>
    </row>
    <row r="91" spans="1:40" x14ac:dyDescent="0.3">
      <c r="A91" s="1">
        <v>99</v>
      </c>
      <c r="B91" t="s">
        <v>262</v>
      </c>
      <c r="C91" t="s">
        <v>155</v>
      </c>
      <c r="D91">
        <v>0.47160997999999998</v>
      </c>
      <c r="E91">
        <v>0.12795000000000001</v>
      </c>
      <c r="F91">
        <v>0.50060004000000002</v>
      </c>
      <c r="G91">
        <v>9317000192</v>
      </c>
      <c r="H91">
        <v>3.4000000000000002E-2</v>
      </c>
      <c r="I91">
        <v>0.24066000000000001</v>
      </c>
      <c r="J91">
        <v>11422999552</v>
      </c>
      <c r="K91">
        <v>11596000000</v>
      </c>
      <c r="L91">
        <v>-2255249920</v>
      </c>
      <c r="M91">
        <v>109.13</v>
      </c>
      <c r="N91">
        <v>3.1E-2</v>
      </c>
      <c r="O91">
        <v>0.60699999999999998</v>
      </c>
      <c r="P91">
        <v>2.2190000000000001E-2</v>
      </c>
      <c r="Q91">
        <v>128.98099999999999</v>
      </c>
      <c r="R91">
        <v>5.5980000000000002E-2</v>
      </c>
      <c r="S91">
        <v>552000000</v>
      </c>
      <c r="T91">
        <v>66090000384</v>
      </c>
      <c r="U91">
        <v>24220999680</v>
      </c>
      <c r="V91">
        <v>0.71699999999999997</v>
      </c>
      <c r="W91" t="s">
        <v>40</v>
      </c>
      <c r="X91">
        <v>31.765000000000001</v>
      </c>
      <c r="Y91">
        <v>0.25600000000000001</v>
      </c>
      <c r="Z91" t="s">
        <v>42</v>
      </c>
      <c r="AA91" t="s">
        <v>263</v>
      </c>
      <c r="AB91">
        <v>6.1509999999999998</v>
      </c>
      <c r="AC91">
        <v>13.042999999999999</v>
      </c>
      <c r="AD91">
        <v>5.47</v>
      </c>
      <c r="AE91">
        <v>769342976</v>
      </c>
      <c r="AF91">
        <v>61.567</v>
      </c>
      <c r="AG91">
        <v>3.91</v>
      </c>
      <c r="AH91">
        <v>1.7725405000000001</v>
      </c>
      <c r="AI91">
        <v>1.06E-3</v>
      </c>
      <c r="AJ91">
        <v>148990803968</v>
      </c>
      <c r="AK91">
        <v>7.6999999999999999E-2</v>
      </c>
      <c r="AL91">
        <v>7.89</v>
      </c>
      <c r="AM91">
        <v>19.95064</v>
      </c>
      <c r="AN91">
        <v>83958398976</v>
      </c>
    </row>
    <row r="92" spans="1:40" x14ac:dyDescent="0.3">
      <c r="A92" s="1">
        <v>100</v>
      </c>
      <c r="B92" t="s">
        <v>265</v>
      </c>
      <c r="C92" t="s">
        <v>264</v>
      </c>
      <c r="D92">
        <v>0.27744999999999997</v>
      </c>
      <c r="E92">
        <v>0.15858</v>
      </c>
      <c r="F92">
        <v>0.43945997999999997</v>
      </c>
      <c r="G92">
        <v>3516000000</v>
      </c>
      <c r="H92">
        <v>0.16300000000000001</v>
      </c>
      <c r="I92">
        <v>0.23976</v>
      </c>
      <c r="J92">
        <v>5498999808</v>
      </c>
      <c r="K92">
        <v>8710000000</v>
      </c>
      <c r="L92">
        <v>3870500096</v>
      </c>
      <c r="M92">
        <v>166.11</v>
      </c>
      <c r="N92">
        <v>1.145</v>
      </c>
      <c r="O92">
        <v>1.242</v>
      </c>
      <c r="P92">
        <v>8.8080000000000006E-2</v>
      </c>
      <c r="Q92">
        <v>117.28700000000001</v>
      </c>
      <c r="R92">
        <v>0.30992999999999998</v>
      </c>
      <c r="S92">
        <v>1752000000</v>
      </c>
      <c r="T92">
        <v>13162000384</v>
      </c>
      <c r="U92">
        <v>19819999232</v>
      </c>
      <c r="V92">
        <v>3.4849999999999999</v>
      </c>
      <c r="W92" t="s">
        <v>40</v>
      </c>
      <c r="X92">
        <v>39.093000000000004</v>
      </c>
      <c r="Y92">
        <v>1.1459999999999999</v>
      </c>
      <c r="Z92" t="s">
        <v>42</v>
      </c>
      <c r="AA92" t="s">
        <v>266</v>
      </c>
      <c r="AB92">
        <v>4.4370000000000003</v>
      </c>
      <c r="AC92">
        <v>15.993</v>
      </c>
      <c r="AD92">
        <v>6.73</v>
      </c>
      <c r="AE92">
        <v>504895008</v>
      </c>
      <c r="AF92">
        <v>19.257000000000001</v>
      </c>
      <c r="AG92">
        <v>5.29</v>
      </c>
      <c r="AH92">
        <v>8.6259549999999994</v>
      </c>
      <c r="AI92">
        <v>1.2199999999999999E-3</v>
      </c>
      <c r="AJ92">
        <v>87947853824</v>
      </c>
      <c r="AK92">
        <v>1.147</v>
      </c>
      <c r="AL92">
        <v>2.11</v>
      </c>
      <c r="AM92">
        <v>24.682020000000001</v>
      </c>
      <c r="AN92">
        <v>83868106752</v>
      </c>
    </row>
    <row r="93" spans="1:40" x14ac:dyDescent="0.3">
      <c r="A93" s="1">
        <v>102</v>
      </c>
      <c r="B93" t="s">
        <v>267</v>
      </c>
      <c r="C93" t="s">
        <v>146</v>
      </c>
      <c r="D93">
        <v>0.54722999999999999</v>
      </c>
      <c r="E93">
        <v>0.30259999999999998</v>
      </c>
      <c r="F93">
        <v>0.54722999999999999</v>
      </c>
      <c r="G93">
        <v>4953999872</v>
      </c>
      <c r="H93">
        <v>0.24299999999999999</v>
      </c>
      <c r="I93">
        <v>0.42918998000000003</v>
      </c>
      <c r="J93">
        <v>6522999808</v>
      </c>
      <c r="K93">
        <v>5795000000</v>
      </c>
      <c r="L93">
        <v>2324624896</v>
      </c>
      <c r="M93">
        <v>36.92</v>
      </c>
      <c r="N93">
        <v>0.34399999999999997</v>
      </c>
      <c r="O93">
        <v>1.718</v>
      </c>
      <c r="P93">
        <v>8.0369994E-2</v>
      </c>
      <c r="Q93">
        <v>128.113</v>
      </c>
      <c r="R93">
        <v>0.27854002</v>
      </c>
      <c r="S93">
        <v>2179000064</v>
      </c>
      <c r="T93">
        <v>16874999808</v>
      </c>
      <c r="U93">
        <v>11920000000</v>
      </c>
      <c r="V93">
        <v>0.98199999999999998</v>
      </c>
      <c r="W93" t="s">
        <v>40</v>
      </c>
      <c r="X93">
        <v>5.2539999999999996</v>
      </c>
      <c r="Y93">
        <v>1.5449999999999999</v>
      </c>
      <c r="Z93" t="s">
        <v>42</v>
      </c>
      <c r="AA93" t="s">
        <v>268</v>
      </c>
      <c r="AB93">
        <v>8.1999999999999993</v>
      </c>
      <c r="AC93">
        <v>14.984999999999999</v>
      </c>
      <c r="AD93">
        <v>1.78</v>
      </c>
      <c r="AE93">
        <v>2217979904</v>
      </c>
      <c r="AF93">
        <v>5.9349999999999996</v>
      </c>
      <c r="AG93">
        <v>1.589</v>
      </c>
      <c r="AH93">
        <v>6.2207239999999997</v>
      </c>
      <c r="AI93">
        <v>1.25E-3</v>
      </c>
      <c r="AJ93">
        <v>97746296832</v>
      </c>
      <c r="AK93">
        <v>0.315</v>
      </c>
      <c r="AL93">
        <v>1.38</v>
      </c>
      <c r="AM93">
        <v>20.741571</v>
      </c>
      <c r="AN93">
        <v>81887813632</v>
      </c>
    </row>
    <row r="94" spans="1:40" x14ac:dyDescent="0.3">
      <c r="A94" s="1">
        <v>103</v>
      </c>
      <c r="B94" t="s">
        <v>270</v>
      </c>
      <c r="C94" t="s">
        <v>269</v>
      </c>
      <c r="D94">
        <v>0.21504999999999999</v>
      </c>
      <c r="E94">
        <v>0.11328000000000001</v>
      </c>
      <c r="F94">
        <v>0.38590000000000002</v>
      </c>
      <c r="G94">
        <v>2932999936</v>
      </c>
      <c r="H94">
        <v>0.14799999999999999</v>
      </c>
      <c r="I94">
        <v>0.16699</v>
      </c>
      <c r="J94">
        <v>12469000192</v>
      </c>
      <c r="K94">
        <v>19230000000</v>
      </c>
      <c r="L94">
        <v>-2138125056</v>
      </c>
      <c r="M94">
        <v>260.08</v>
      </c>
      <c r="N94">
        <v>2.59</v>
      </c>
      <c r="O94">
        <v>1.377</v>
      </c>
      <c r="P94">
        <v>0.12033000000000001</v>
      </c>
      <c r="Q94">
        <v>1866.3009999999999</v>
      </c>
      <c r="R94">
        <v>4.7439200000000001</v>
      </c>
      <c r="S94">
        <v>1139000064</v>
      </c>
      <c r="T94">
        <v>34059999232</v>
      </c>
      <c r="U94">
        <v>57981001728</v>
      </c>
      <c r="V94">
        <v>3.6619999999999999</v>
      </c>
      <c r="W94" t="s">
        <v>40</v>
      </c>
      <c r="X94">
        <v>175.292</v>
      </c>
      <c r="Y94">
        <v>0.995</v>
      </c>
      <c r="Z94" t="s">
        <v>42</v>
      </c>
      <c r="AA94" t="s">
        <v>271</v>
      </c>
      <c r="AB94">
        <v>2.0070000000000001</v>
      </c>
      <c r="AC94">
        <v>9.3339999999999996</v>
      </c>
      <c r="AD94">
        <v>18.7</v>
      </c>
      <c r="AE94">
        <v>311023008</v>
      </c>
      <c r="AF94">
        <v>-2.2170000000000001</v>
      </c>
      <c r="AG94">
        <v>19.533000000000001</v>
      </c>
      <c r="AI94">
        <v>0.22935</v>
      </c>
      <c r="AJ94">
        <v>116390903808</v>
      </c>
      <c r="AK94">
        <v>2.3969999999999998</v>
      </c>
      <c r="AL94">
        <v>0.93</v>
      </c>
      <c r="AM94">
        <v>13.90802</v>
      </c>
      <c r="AN94">
        <v>80890863616</v>
      </c>
    </row>
    <row r="95" spans="1:40" x14ac:dyDescent="0.3">
      <c r="A95" s="1">
        <v>105</v>
      </c>
      <c r="B95" t="s">
        <v>272</v>
      </c>
      <c r="C95" t="s">
        <v>197</v>
      </c>
      <c r="D95">
        <v>0.33055001000000001</v>
      </c>
      <c r="E95">
        <v>0.27072000000000002</v>
      </c>
      <c r="F95">
        <v>0.46185999999999999</v>
      </c>
      <c r="G95">
        <v>3403175936</v>
      </c>
      <c r="H95">
        <v>0.35499999999999998</v>
      </c>
      <c r="I95">
        <v>0.31061</v>
      </c>
      <c r="J95">
        <v>5207305216</v>
      </c>
      <c r="K95">
        <v>6805306000</v>
      </c>
      <c r="L95">
        <v>1959992704</v>
      </c>
      <c r="M95">
        <v>554.82000000000005</v>
      </c>
      <c r="N95">
        <v>0.47899999999999998</v>
      </c>
      <c r="O95">
        <v>3.2690000000000001</v>
      </c>
      <c r="P95">
        <v>0.19974001</v>
      </c>
      <c r="Q95">
        <v>85.83</v>
      </c>
      <c r="R95">
        <v>0.75890000000000002</v>
      </c>
      <c r="S95">
        <v>4611622912</v>
      </c>
      <c r="T95">
        <v>4995332096</v>
      </c>
      <c r="U95">
        <v>15753535488</v>
      </c>
      <c r="V95">
        <v>32.753</v>
      </c>
      <c r="W95" t="s">
        <v>40</v>
      </c>
      <c r="X95">
        <v>110.375</v>
      </c>
      <c r="Y95">
        <v>2.3490000000000002</v>
      </c>
      <c r="Z95" t="s">
        <v>42</v>
      </c>
      <c r="AA95" t="s">
        <v>273</v>
      </c>
      <c r="AB95">
        <v>6.3879999999999999</v>
      </c>
      <c r="AC95">
        <v>19.324999999999999</v>
      </c>
      <c r="AD95">
        <v>36.65</v>
      </c>
      <c r="AE95">
        <v>140799008</v>
      </c>
      <c r="AF95">
        <v>41.332000000000001</v>
      </c>
      <c r="AG95">
        <v>29.588000000000001</v>
      </c>
      <c r="AH95">
        <v>13.423496999999999</v>
      </c>
      <c r="AI95">
        <v>2.0899999999999998E-3</v>
      </c>
      <c r="AJ95">
        <v>100632379392</v>
      </c>
      <c r="AK95">
        <v>0.433</v>
      </c>
      <c r="AL95">
        <v>1.28</v>
      </c>
      <c r="AM95">
        <v>15.138335</v>
      </c>
      <c r="AN95">
        <v>78118109184</v>
      </c>
    </row>
    <row r="96" spans="1:40" x14ac:dyDescent="0.3">
      <c r="A96" s="1">
        <v>106</v>
      </c>
      <c r="B96" t="s">
        <v>274</v>
      </c>
      <c r="C96" t="s">
        <v>62</v>
      </c>
      <c r="D96">
        <v>5.96E-2</v>
      </c>
      <c r="E96">
        <v>4.9200002E-2</v>
      </c>
      <c r="F96">
        <v>0.13713</v>
      </c>
      <c r="G96">
        <v>7209999872</v>
      </c>
      <c r="H96">
        <v>8.2000000000000003E-2</v>
      </c>
      <c r="I96">
        <v>4.8480000000000002E-2</v>
      </c>
      <c r="J96">
        <v>10154999808</v>
      </c>
      <c r="K96">
        <v>24356000000</v>
      </c>
      <c r="L96">
        <v>9887625216</v>
      </c>
      <c r="M96">
        <v>243.58</v>
      </c>
      <c r="N96">
        <v>0.27</v>
      </c>
      <c r="O96">
        <v>0.7</v>
      </c>
      <c r="P96">
        <v>3.2849999999999997E-2</v>
      </c>
      <c r="Q96">
        <v>73.536000000000001</v>
      </c>
      <c r="R96">
        <v>0.17627001</v>
      </c>
      <c r="S96">
        <v>4816999936</v>
      </c>
      <c r="T96">
        <v>34916999168</v>
      </c>
      <c r="U96">
        <v>170397007872</v>
      </c>
      <c r="V96">
        <v>14.534000000000001</v>
      </c>
      <c r="W96" t="s">
        <v>40</v>
      </c>
      <c r="X96">
        <v>493.03399999999999</v>
      </c>
      <c r="Y96">
        <v>0.57999999999999996</v>
      </c>
      <c r="Z96" t="s">
        <v>42</v>
      </c>
      <c r="AA96" t="s">
        <v>275</v>
      </c>
      <c r="AB96">
        <v>0.624</v>
      </c>
      <c r="AC96">
        <v>10.478</v>
      </c>
      <c r="AD96">
        <v>22.46</v>
      </c>
      <c r="AE96">
        <v>331428000</v>
      </c>
      <c r="AF96">
        <v>143.07499999999999</v>
      </c>
      <c r="AG96">
        <v>24.027000000000001</v>
      </c>
      <c r="AH96">
        <v>1.7024637</v>
      </c>
      <c r="AI96">
        <v>1.5010000000000001E-2</v>
      </c>
      <c r="AJ96">
        <v>106403020800</v>
      </c>
      <c r="AK96">
        <v>0.16800000000000001</v>
      </c>
      <c r="AL96">
        <v>1.04</v>
      </c>
      <c r="AM96">
        <v>10.845058</v>
      </c>
      <c r="AN96">
        <v>80729235456</v>
      </c>
    </row>
    <row r="97" spans="1:40" x14ac:dyDescent="0.3">
      <c r="A97" s="1">
        <v>107</v>
      </c>
      <c r="B97" t="s">
        <v>276</v>
      </c>
      <c r="C97" t="s">
        <v>179</v>
      </c>
      <c r="D97">
        <v>0.60728000000000004</v>
      </c>
      <c r="E97">
        <v>0.43814999999999998</v>
      </c>
      <c r="F97">
        <v>1</v>
      </c>
      <c r="G97">
        <v>3196000000</v>
      </c>
      <c r="H97">
        <v>0.27700000000000002</v>
      </c>
      <c r="I97">
        <v>0.48888999999999999</v>
      </c>
      <c r="J97">
        <v>4236999936</v>
      </c>
      <c r="K97">
        <v>6036000000</v>
      </c>
      <c r="L97">
        <v>2654249984</v>
      </c>
      <c r="M97">
        <v>135.26</v>
      </c>
      <c r="N97">
        <v>0.57699999999999996</v>
      </c>
      <c r="O97">
        <v>1.006</v>
      </c>
      <c r="P97">
        <v>1.5299999999999999E-2</v>
      </c>
      <c r="Q97">
        <v>66.88</v>
      </c>
      <c r="R97">
        <v>0.15029999999999999</v>
      </c>
      <c r="S97">
        <v>1319000064</v>
      </c>
      <c r="T97">
        <v>14499000320</v>
      </c>
      <c r="U97">
        <v>6976999936</v>
      </c>
      <c r="V97">
        <v>2.3410000000000002</v>
      </c>
      <c r="W97" t="s">
        <v>40</v>
      </c>
      <c r="X97">
        <v>12.404</v>
      </c>
      <c r="Y97">
        <v>2.4E-2</v>
      </c>
      <c r="Z97" t="s">
        <v>42</v>
      </c>
      <c r="AA97" t="s">
        <v>277</v>
      </c>
      <c r="AB97">
        <v>12.733000000000001</v>
      </c>
      <c r="AC97">
        <v>20.966999999999999</v>
      </c>
      <c r="AD97">
        <v>5.55</v>
      </c>
      <c r="AE97">
        <v>563404032</v>
      </c>
      <c r="AF97">
        <v>38.360999999999997</v>
      </c>
      <c r="AG97">
        <v>5.4210000000000003</v>
      </c>
      <c r="AH97">
        <v>3.5259767000000002</v>
      </c>
      <c r="AI97">
        <v>1.33299995E-2</v>
      </c>
      <c r="AJ97">
        <v>88835620864</v>
      </c>
      <c r="AK97">
        <v>0.623</v>
      </c>
      <c r="AL97">
        <v>2.2999999999999998</v>
      </c>
      <c r="AM97">
        <v>24.371169999999999</v>
      </c>
      <c r="AN97">
        <v>76206022656</v>
      </c>
    </row>
    <row r="98" spans="1:40" x14ac:dyDescent="0.3">
      <c r="A98" s="1">
        <v>108</v>
      </c>
      <c r="B98" t="s">
        <v>278</v>
      </c>
      <c r="C98" t="s">
        <v>218</v>
      </c>
      <c r="D98">
        <v>0.56986999999999999</v>
      </c>
      <c r="E98">
        <v>0.17287000999999999</v>
      </c>
      <c r="F98">
        <v>0.68565005000000001</v>
      </c>
      <c r="G98">
        <v>2727000064</v>
      </c>
      <c r="H98">
        <v>0.108</v>
      </c>
      <c r="I98">
        <v>0.31908999999999998</v>
      </c>
      <c r="J98">
        <v>3612999936</v>
      </c>
      <c r="K98">
        <v>4347000000</v>
      </c>
      <c r="L98">
        <v>1362749952</v>
      </c>
      <c r="M98">
        <v>177.58</v>
      </c>
      <c r="N98">
        <v>-0.29899999999999999</v>
      </c>
      <c r="O98">
        <v>0.61899999999999999</v>
      </c>
      <c r="P98">
        <v>3.2500000000000001E-2</v>
      </c>
      <c r="Q98">
        <v>327.065</v>
      </c>
      <c r="R98">
        <v>0.13070999999999999</v>
      </c>
      <c r="S98">
        <v>292000000</v>
      </c>
      <c r="T98">
        <v>27008999424</v>
      </c>
      <c r="U98">
        <v>6339999744</v>
      </c>
      <c r="V98">
        <v>0.67600000000000005</v>
      </c>
      <c r="W98" t="s">
        <v>40</v>
      </c>
      <c r="X98">
        <v>14.676</v>
      </c>
      <c r="Y98">
        <v>0.45800000000000002</v>
      </c>
      <c r="Z98" t="s">
        <v>42</v>
      </c>
      <c r="AA98" t="s">
        <v>279</v>
      </c>
      <c r="AB98">
        <v>16.202000000000002</v>
      </c>
      <c r="AC98">
        <v>28.43</v>
      </c>
      <c r="AD98">
        <v>3.31</v>
      </c>
      <c r="AE98">
        <v>432203008</v>
      </c>
      <c r="AF98">
        <v>19.704000000000001</v>
      </c>
      <c r="AG98">
        <v>2.871</v>
      </c>
      <c r="AH98">
        <v>9.0123829999999998</v>
      </c>
      <c r="AI98">
        <v>4.8900000000000002E-3</v>
      </c>
      <c r="AJ98">
        <v>102717612032</v>
      </c>
      <c r="AK98">
        <v>-0.30499999999999999</v>
      </c>
      <c r="AL98">
        <v>4.34</v>
      </c>
      <c r="AM98">
        <v>53.649548000000003</v>
      </c>
      <c r="AN98">
        <v>76750610432</v>
      </c>
    </row>
    <row r="99" spans="1:40" x14ac:dyDescent="0.3">
      <c r="A99" s="1">
        <v>109</v>
      </c>
      <c r="B99" t="s">
        <v>280</v>
      </c>
      <c r="C99" t="s">
        <v>226</v>
      </c>
      <c r="D99">
        <v>0.27864</v>
      </c>
      <c r="E99">
        <v>0.103319995</v>
      </c>
      <c r="F99">
        <v>0.47294000000000003</v>
      </c>
      <c r="G99">
        <v>4647000064</v>
      </c>
      <c r="H99">
        <v>7.2999999999999995E-2</v>
      </c>
      <c r="I99">
        <v>0.16639000000000001</v>
      </c>
      <c r="J99">
        <v>5641999872</v>
      </c>
      <c r="K99">
        <v>9576000000</v>
      </c>
      <c r="L99">
        <v>3650500096</v>
      </c>
      <c r="M99">
        <v>265.67</v>
      </c>
      <c r="N99">
        <v>1.4059999999999999</v>
      </c>
      <c r="O99">
        <v>1.3340000000000001</v>
      </c>
      <c r="P99">
        <v>3.9039999999999998E-2</v>
      </c>
      <c r="Q99">
        <v>76.361000000000004</v>
      </c>
      <c r="R99">
        <v>8.8190004000000002E-2</v>
      </c>
      <c r="S99">
        <v>2295000064</v>
      </c>
      <c r="T99">
        <v>18080000000</v>
      </c>
      <c r="U99">
        <v>20248000512</v>
      </c>
      <c r="V99">
        <v>8.08</v>
      </c>
      <c r="W99" t="s">
        <v>40</v>
      </c>
      <c r="X99">
        <v>69.992999999999995</v>
      </c>
      <c r="Y99">
        <v>0.72299999999999998</v>
      </c>
      <c r="Z99" t="s">
        <v>42</v>
      </c>
      <c r="AA99" t="s">
        <v>281</v>
      </c>
      <c r="AB99">
        <v>4.4790000000000001</v>
      </c>
      <c r="AC99">
        <v>16.073</v>
      </c>
      <c r="AD99">
        <v>13.68</v>
      </c>
      <c r="AE99">
        <v>285043008</v>
      </c>
      <c r="AF99">
        <v>83.222999999999999</v>
      </c>
      <c r="AG99">
        <v>6.85</v>
      </c>
      <c r="AH99">
        <v>3.1922666999999998</v>
      </c>
      <c r="AI99">
        <v>7.7299999999999999E-3</v>
      </c>
      <c r="AJ99">
        <v>90681180160</v>
      </c>
      <c r="AK99">
        <v>1.07</v>
      </c>
      <c r="AL99">
        <v>2.23</v>
      </c>
      <c r="AM99">
        <v>19.420321999999999</v>
      </c>
      <c r="AN99">
        <v>75727380480</v>
      </c>
    </row>
    <row r="100" spans="1:40" x14ac:dyDescent="0.3">
      <c r="A100" s="1">
        <v>110</v>
      </c>
      <c r="B100" t="s">
        <v>283</v>
      </c>
      <c r="C100" t="s">
        <v>282</v>
      </c>
      <c r="D100">
        <v>0.45992001999999998</v>
      </c>
      <c r="E100">
        <v>0.18848999999999999</v>
      </c>
      <c r="F100">
        <v>0.47332000000000002</v>
      </c>
      <c r="G100">
        <v>7714999808</v>
      </c>
      <c r="H100">
        <v>0.371</v>
      </c>
      <c r="I100">
        <v>0.36301</v>
      </c>
      <c r="J100">
        <v>10506999808</v>
      </c>
      <c r="K100">
        <v>10813000000</v>
      </c>
      <c r="L100">
        <v>6041874944</v>
      </c>
      <c r="M100">
        <v>51.93</v>
      </c>
      <c r="N100">
        <v>0.53800000000000003</v>
      </c>
      <c r="O100">
        <v>2.5169999999999999</v>
      </c>
      <c r="P100">
        <v>0.11497</v>
      </c>
      <c r="Q100">
        <v>42.439</v>
      </c>
      <c r="R100">
        <v>0.25739000000000001</v>
      </c>
      <c r="S100">
        <v>8182000128</v>
      </c>
      <c r="T100">
        <v>9768999936</v>
      </c>
      <c r="U100">
        <v>22844999680</v>
      </c>
      <c r="V100">
        <v>5.6239999999999997</v>
      </c>
      <c r="W100" t="s">
        <v>40</v>
      </c>
      <c r="X100">
        <v>15.583</v>
      </c>
      <c r="Y100">
        <v>1.6839999999999999</v>
      </c>
      <c r="Z100" t="s">
        <v>42</v>
      </c>
      <c r="AA100" t="s">
        <v>284</v>
      </c>
      <c r="AB100">
        <v>3.4550000000000001</v>
      </c>
      <c r="AC100">
        <v>7.5119999999999996</v>
      </c>
      <c r="AD100">
        <v>3.55</v>
      </c>
      <c r="AE100">
        <v>1468470016</v>
      </c>
      <c r="AF100">
        <v>9.0960000000000001</v>
      </c>
      <c r="AG100">
        <v>2.641</v>
      </c>
      <c r="AH100">
        <v>5.7091029999999998</v>
      </c>
      <c r="AI100">
        <v>6.96E-3</v>
      </c>
      <c r="AJ100">
        <v>78927970304</v>
      </c>
      <c r="AK100">
        <v>0.56200000000000006</v>
      </c>
      <c r="AL100">
        <v>0.48</v>
      </c>
      <c r="AM100">
        <v>14.628169</v>
      </c>
      <c r="AN100">
        <v>76257648640</v>
      </c>
    </row>
    <row r="101" spans="1:40" x14ac:dyDescent="0.3">
      <c r="A101" s="1">
        <v>111</v>
      </c>
      <c r="B101" t="s">
        <v>285</v>
      </c>
      <c r="C101" t="s">
        <v>68</v>
      </c>
      <c r="D101">
        <v>0.54315999999999998</v>
      </c>
      <c r="E101">
        <v>0.26905000000000001</v>
      </c>
      <c r="F101">
        <v>0.83022004000000005</v>
      </c>
      <c r="G101">
        <v>10094999552</v>
      </c>
      <c r="H101">
        <v>0.128</v>
      </c>
      <c r="I101">
        <v>0.47249000000000002</v>
      </c>
      <c r="J101">
        <v>14926999552</v>
      </c>
      <c r="K101">
        <v>20998000000</v>
      </c>
      <c r="L101">
        <v>8185874944</v>
      </c>
      <c r="M101">
        <v>58.91</v>
      </c>
      <c r="N101">
        <v>6.1470000000000002</v>
      </c>
      <c r="O101">
        <v>1.3660000000000001</v>
      </c>
      <c r="P101">
        <v>0.12683</v>
      </c>
      <c r="Q101">
        <v>128.946</v>
      </c>
      <c r="R101">
        <v>0.37846002000000001</v>
      </c>
      <c r="S101">
        <v>6608999936</v>
      </c>
      <c r="T101">
        <v>27686000640</v>
      </c>
      <c r="U101">
        <v>27481999360</v>
      </c>
      <c r="V101">
        <v>5.2690000000000001</v>
      </c>
      <c r="W101" t="s">
        <v>40</v>
      </c>
      <c r="X101">
        <v>21.876000000000001</v>
      </c>
      <c r="Y101">
        <v>1.091</v>
      </c>
      <c r="Z101" t="s">
        <v>42</v>
      </c>
      <c r="AA101" t="s">
        <v>286</v>
      </c>
      <c r="AB101">
        <v>4.0629999999999997</v>
      </c>
      <c r="AC101">
        <v>7.48</v>
      </c>
      <c r="AD101">
        <v>6.8</v>
      </c>
      <c r="AE101">
        <v>1254380032</v>
      </c>
      <c r="AF101">
        <v>17.108000000000001</v>
      </c>
      <c r="AG101">
        <v>5.8440000000000003</v>
      </c>
      <c r="AH101">
        <v>3.4434182999999998</v>
      </c>
      <c r="AI101">
        <v>9.5E-4</v>
      </c>
      <c r="AJ101">
        <v>111657033728</v>
      </c>
      <c r="AK101">
        <v>6.2</v>
      </c>
      <c r="AL101">
        <v>6.77</v>
      </c>
      <c r="AM101">
        <v>8.6632350000000002</v>
      </c>
      <c r="AN101">
        <v>73895526400</v>
      </c>
    </row>
    <row r="102" spans="1:40" x14ac:dyDescent="0.3">
      <c r="A102" s="1">
        <v>112</v>
      </c>
      <c r="B102" t="s">
        <v>287</v>
      </c>
      <c r="C102" t="s">
        <v>155</v>
      </c>
      <c r="D102">
        <v>0.34855000000000003</v>
      </c>
      <c r="E102">
        <v>0.10353</v>
      </c>
      <c r="F102">
        <v>0.43530000000000002</v>
      </c>
      <c r="G102">
        <v>6168999936</v>
      </c>
      <c r="H102">
        <v>0.127</v>
      </c>
      <c r="I102">
        <v>0.17665</v>
      </c>
      <c r="J102">
        <v>8056000000</v>
      </c>
      <c r="K102">
        <v>10061000000</v>
      </c>
      <c r="L102">
        <v>-2179624960</v>
      </c>
      <c r="M102">
        <v>70.930000000000007</v>
      </c>
      <c r="O102">
        <v>0.82099999999999995</v>
      </c>
      <c r="P102">
        <v>2.0380002000000001E-2</v>
      </c>
      <c r="Q102">
        <v>170.41499999999999</v>
      </c>
      <c r="R102">
        <v>7.0480000000000001E-2</v>
      </c>
      <c r="S102">
        <v>1798000000</v>
      </c>
      <c r="T102">
        <v>55499001856</v>
      </c>
      <c r="U102">
        <v>23113000960</v>
      </c>
      <c r="V102">
        <v>1.696</v>
      </c>
      <c r="W102" t="s">
        <v>40</v>
      </c>
      <c r="X102">
        <v>21.783999999999999</v>
      </c>
      <c r="Y102">
        <v>0.436</v>
      </c>
      <c r="Z102" t="s">
        <v>42</v>
      </c>
      <c r="AA102" t="s">
        <v>288</v>
      </c>
      <c r="AB102">
        <v>5.6260000000000003</v>
      </c>
      <c r="AC102">
        <v>16.143000000000001</v>
      </c>
      <c r="AD102">
        <v>3.54</v>
      </c>
      <c r="AE102">
        <v>1059800000</v>
      </c>
      <c r="AF102">
        <v>27.07</v>
      </c>
      <c r="AG102">
        <v>2.8010000000000002</v>
      </c>
      <c r="AH102">
        <v>2.6202437999999999</v>
      </c>
      <c r="AI102">
        <v>2.14E-3</v>
      </c>
      <c r="AJ102">
        <v>130044108800</v>
      </c>
      <c r="AL102">
        <v>3.18</v>
      </c>
      <c r="AM102">
        <v>20.036724</v>
      </c>
      <c r="AN102">
        <v>75171610624</v>
      </c>
    </row>
    <row r="103" spans="1:40" x14ac:dyDescent="0.3">
      <c r="A103" s="1">
        <v>113</v>
      </c>
      <c r="B103" t="s">
        <v>290</v>
      </c>
      <c r="C103" t="s">
        <v>289</v>
      </c>
      <c r="D103">
        <v>0.65690999999999999</v>
      </c>
      <c r="E103">
        <v>0.5968</v>
      </c>
      <c r="F103">
        <v>0.68091005000000004</v>
      </c>
      <c r="G103">
        <v>11573970944</v>
      </c>
      <c r="H103">
        <v>30.65</v>
      </c>
      <c r="I103">
        <v>0.64327999999999996</v>
      </c>
      <c r="J103">
        <v>7772106752</v>
      </c>
      <c r="K103">
        <v>-574877000</v>
      </c>
      <c r="L103">
        <v>8944045056</v>
      </c>
      <c r="M103">
        <v>165.92</v>
      </c>
      <c r="O103">
        <v>1.3480000000000001</v>
      </c>
      <c r="P103">
        <v>0.372</v>
      </c>
      <c r="Q103">
        <v>5.758</v>
      </c>
      <c r="R103">
        <v>1.09609</v>
      </c>
      <c r="S103">
        <v>8906000384</v>
      </c>
      <c r="T103">
        <v>583000000</v>
      </c>
      <c r="U103">
        <v>11831395328</v>
      </c>
      <c r="V103">
        <v>21.966000000000001</v>
      </c>
      <c r="W103" t="s">
        <v>40</v>
      </c>
      <c r="X103">
        <v>29.516999999999999</v>
      </c>
      <c r="Y103">
        <v>1.216</v>
      </c>
      <c r="Z103" t="s">
        <v>42</v>
      </c>
      <c r="AA103" t="s">
        <v>291</v>
      </c>
      <c r="AB103">
        <v>7.2830000000000004</v>
      </c>
      <c r="AC103">
        <v>11.087</v>
      </c>
      <c r="AD103">
        <v>26.47</v>
      </c>
      <c r="AE103">
        <v>405449984</v>
      </c>
      <c r="AF103">
        <v>24.998000000000001</v>
      </c>
      <c r="AG103">
        <v>16.692</v>
      </c>
      <c r="AH103">
        <v>6.6373309999999996</v>
      </c>
      <c r="AI103">
        <v>9.4909999999999994E-2</v>
      </c>
      <c r="AJ103">
        <v>86171066368</v>
      </c>
      <c r="AL103">
        <v>0.54</v>
      </c>
      <c r="AM103">
        <v>6.2682279999999997</v>
      </c>
      <c r="AN103">
        <v>67272261632</v>
      </c>
    </row>
    <row r="104" spans="1:40" x14ac:dyDescent="0.3">
      <c r="A104" s="1">
        <v>114</v>
      </c>
      <c r="B104" t="s">
        <v>292</v>
      </c>
      <c r="C104" t="s">
        <v>289</v>
      </c>
      <c r="D104">
        <v>0.57448999999999995</v>
      </c>
      <c r="E104">
        <v>0.50244999999999995</v>
      </c>
      <c r="F104">
        <v>0.66739000000000004</v>
      </c>
      <c r="G104">
        <v>7081299968</v>
      </c>
      <c r="H104">
        <v>1.044</v>
      </c>
      <c r="I104">
        <v>0.55667995999999997</v>
      </c>
      <c r="J104">
        <v>9233000448</v>
      </c>
      <c r="K104">
        <v>10726100000</v>
      </c>
      <c r="L104">
        <v>4279237376</v>
      </c>
      <c r="M104">
        <v>680.03</v>
      </c>
      <c r="N104">
        <v>0.92300000000000004</v>
      </c>
      <c r="O104">
        <v>3.5640000000000001</v>
      </c>
      <c r="P104">
        <v>0.26252999999999999</v>
      </c>
      <c r="Q104">
        <v>14.384</v>
      </c>
      <c r="R104">
        <v>0.54207002999999998</v>
      </c>
      <c r="S104">
        <v>5694700032</v>
      </c>
      <c r="T104">
        <v>2699699968</v>
      </c>
      <c r="U104">
        <v>16071700480</v>
      </c>
      <c r="V104">
        <v>53.502000000000002</v>
      </c>
      <c r="W104" t="s">
        <v>40</v>
      </c>
      <c r="X104">
        <v>152.05000000000001</v>
      </c>
      <c r="Y104">
        <v>2.9830000000000001</v>
      </c>
      <c r="Z104" t="s">
        <v>42</v>
      </c>
      <c r="AA104" t="s">
        <v>293</v>
      </c>
      <c r="AB104">
        <v>3.9220000000000002</v>
      </c>
      <c r="AC104">
        <v>6.8280000000000003</v>
      </c>
      <c r="AD104">
        <v>47.81</v>
      </c>
      <c r="AE104">
        <v>105720000</v>
      </c>
      <c r="AF104">
        <v>163.52199999999999</v>
      </c>
      <c r="AG104">
        <v>62.526000000000003</v>
      </c>
      <c r="AH104">
        <v>4.1586455999999998</v>
      </c>
      <c r="AI104">
        <v>2.9610000000000001E-2</v>
      </c>
      <c r="AJ104">
        <v>63040995328</v>
      </c>
      <c r="AK104">
        <v>0.94</v>
      </c>
      <c r="AL104">
        <v>0.67</v>
      </c>
      <c r="AM104">
        <v>14.223594</v>
      </c>
      <c r="AN104">
        <v>73132466176</v>
      </c>
    </row>
    <row r="105" spans="1:40" x14ac:dyDescent="0.3">
      <c r="A105" s="1">
        <v>115</v>
      </c>
      <c r="B105" t="s">
        <v>295</v>
      </c>
      <c r="C105" t="s">
        <v>294</v>
      </c>
      <c r="D105">
        <v>0.10312</v>
      </c>
      <c r="E105">
        <v>5.8459999999999998E-2</v>
      </c>
      <c r="F105">
        <v>0.35151001999999998</v>
      </c>
      <c r="G105">
        <v>2232061952</v>
      </c>
      <c r="H105">
        <v>0.23899999999999999</v>
      </c>
      <c r="I105">
        <v>8.4280010000000002E-2</v>
      </c>
      <c r="J105">
        <v>4706388992</v>
      </c>
      <c r="K105">
        <v>10508514000</v>
      </c>
      <c r="L105">
        <v>1070632512</v>
      </c>
      <c r="M105">
        <v>61.29</v>
      </c>
      <c r="N105">
        <v>0.183</v>
      </c>
      <c r="O105">
        <v>1.2869999999999999</v>
      </c>
      <c r="P105">
        <v>7.8009999999999996E-2</v>
      </c>
      <c r="Q105">
        <v>198.94200000000001</v>
      </c>
      <c r="R105">
        <v>0.44425999999999999</v>
      </c>
      <c r="S105">
        <v>6791596032</v>
      </c>
      <c r="T105">
        <v>12821368832</v>
      </c>
      <c r="U105">
        <v>45638823936</v>
      </c>
      <c r="V105">
        <v>5.6929999999999996</v>
      </c>
      <c r="W105" t="s">
        <v>40</v>
      </c>
      <c r="X105">
        <v>37.917999999999999</v>
      </c>
      <c r="Y105">
        <v>0.66100000000000003</v>
      </c>
      <c r="Z105" t="s">
        <v>42</v>
      </c>
      <c r="AA105" t="s">
        <v>296</v>
      </c>
      <c r="AB105">
        <v>2.137</v>
      </c>
      <c r="AC105">
        <v>20.727</v>
      </c>
      <c r="AD105">
        <v>3.35</v>
      </c>
      <c r="AE105">
        <v>1192880000</v>
      </c>
      <c r="AF105">
        <v>5.3959999999999999</v>
      </c>
      <c r="AG105">
        <v>2.1669999999999998</v>
      </c>
      <c r="AH105">
        <v>11.358414</v>
      </c>
      <c r="AI105">
        <v>6.7000003999999997E-4</v>
      </c>
      <c r="AJ105">
        <v>97547403264</v>
      </c>
      <c r="AK105">
        <v>0.18</v>
      </c>
      <c r="AL105">
        <v>0.19</v>
      </c>
      <c r="AM105">
        <v>18.295522999999999</v>
      </c>
      <c r="AN105">
        <v>73111617536</v>
      </c>
    </row>
    <row r="106" spans="1:40" x14ac:dyDescent="0.3">
      <c r="A106" s="1">
        <v>116</v>
      </c>
      <c r="B106" t="s">
        <v>297</v>
      </c>
      <c r="C106" t="s">
        <v>146</v>
      </c>
      <c r="D106">
        <v>0.51284003</v>
      </c>
      <c r="E106">
        <v>0.26843</v>
      </c>
      <c r="F106">
        <v>0.51284003</v>
      </c>
      <c r="G106">
        <v>4183000064</v>
      </c>
      <c r="H106">
        <v>0.13800000000000001</v>
      </c>
      <c r="I106">
        <v>0.40514</v>
      </c>
      <c r="J106">
        <v>5570999808</v>
      </c>
      <c r="K106">
        <v>4632000000</v>
      </c>
      <c r="L106">
        <v>2002000000</v>
      </c>
      <c r="M106">
        <v>283.36</v>
      </c>
      <c r="N106">
        <v>0.378</v>
      </c>
      <c r="O106">
        <v>1.129</v>
      </c>
      <c r="P106">
        <v>7.1650000000000005E-2</v>
      </c>
      <c r="Q106">
        <v>103.449</v>
      </c>
      <c r="R106">
        <v>0.20230000000000001</v>
      </c>
      <c r="S106">
        <v>1464999936</v>
      </c>
      <c r="T106">
        <v>14366000128</v>
      </c>
      <c r="U106">
        <v>10862999552</v>
      </c>
      <c r="V106">
        <v>6.02</v>
      </c>
      <c r="W106" t="s">
        <v>40</v>
      </c>
      <c r="X106">
        <v>43.500999999999998</v>
      </c>
      <c r="Y106">
        <v>1</v>
      </c>
      <c r="Z106" t="s">
        <v>42</v>
      </c>
      <c r="AA106" t="s">
        <v>298</v>
      </c>
      <c r="AB106">
        <v>7.8330000000000002</v>
      </c>
      <c r="AC106">
        <v>15.273</v>
      </c>
      <c r="AD106">
        <v>13.74</v>
      </c>
      <c r="AE106">
        <v>243344992</v>
      </c>
      <c r="AF106">
        <v>57.067</v>
      </c>
      <c r="AG106">
        <v>11.619</v>
      </c>
      <c r="AH106">
        <v>4.9653910000000003</v>
      </c>
      <c r="AI106">
        <v>1.14E-3</v>
      </c>
      <c r="AJ106">
        <v>85086715904</v>
      </c>
      <c r="AK106">
        <v>0.32300000000000001</v>
      </c>
      <c r="AL106">
        <v>1.39</v>
      </c>
      <c r="AM106">
        <v>20.622997000000002</v>
      </c>
      <c r="AN106">
        <v>68954234880</v>
      </c>
    </row>
    <row r="107" spans="1:40" x14ac:dyDescent="0.3">
      <c r="A107" s="1">
        <v>117</v>
      </c>
      <c r="B107" t="s">
        <v>299</v>
      </c>
      <c r="C107" t="s">
        <v>165</v>
      </c>
      <c r="D107">
        <v>0.24487999999999999</v>
      </c>
      <c r="E107">
        <v>0.19639999</v>
      </c>
      <c r="F107">
        <v>0.20377001</v>
      </c>
      <c r="G107">
        <v>3567000064</v>
      </c>
      <c r="H107">
        <v>-0.154</v>
      </c>
      <c r="I107">
        <v>0.21013999999999999</v>
      </c>
      <c r="J107">
        <v>8734000128</v>
      </c>
      <c r="K107">
        <v>7268000000</v>
      </c>
      <c r="L107">
        <v>6460874752</v>
      </c>
      <c r="M107">
        <v>458.18</v>
      </c>
      <c r="N107">
        <v>7.6950000000000003</v>
      </c>
      <c r="O107">
        <v>1.304</v>
      </c>
      <c r="P107">
        <v>0.10762998999999999</v>
      </c>
      <c r="Q107">
        <v>113.392</v>
      </c>
      <c r="R107">
        <v>0.59604000000000001</v>
      </c>
      <c r="S107">
        <v>3529999872</v>
      </c>
      <c r="T107">
        <v>14657000448</v>
      </c>
      <c r="U107">
        <v>35667001344</v>
      </c>
      <c r="V107">
        <v>22.613</v>
      </c>
      <c r="W107" t="s">
        <v>40</v>
      </c>
      <c r="X107">
        <v>222.50200000000001</v>
      </c>
      <c r="Y107">
        <v>1.161</v>
      </c>
      <c r="Z107" t="s">
        <v>42</v>
      </c>
      <c r="AA107" t="s">
        <v>300</v>
      </c>
      <c r="AB107">
        <v>2.4039999999999999</v>
      </c>
      <c r="AC107">
        <v>9.8160000000000007</v>
      </c>
      <c r="AD107">
        <v>25.08</v>
      </c>
      <c r="AE107">
        <v>157338000</v>
      </c>
      <c r="AF107">
        <v>71.912999999999997</v>
      </c>
      <c r="AG107">
        <v>28.35</v>
      </c>
      <c r="AH107">
        <v>6.3713093000000001</v>
      </c>
      <c r="AI107">
        <v>2.3700001000000002E-3</v>
      </c>
      <c r="AJ107">
        <v>85735915520</v>
      </c>
      <c r="AK107">
        <v>7.2119999999999997</v>
      </c>
      <c r="AL107">
        <v>2.48</v>
      </c>
      <c r="AM107">
        <v>18.268740000000001</v>
      </c>
      <c r="AN107">
        <v>72089124864</v>
      </c>
    </row>
    <row r="108" spans="1:40" x14ac:dyDescent="0.3">
      <c r="A108" s="1">
        <v>118</v>
      </c>
      <c r="B108" t="s">
        <v>301</v>
      </c>
      <c r="C108" t="s">
        <v>182</v>
      </c>
      <c r="D108">
        <v>0.47464000000000001</v>
      </c>
      <c r="E108">
        <v>0.18018000000000001</v>
      </c>
      <c r="F108">
        <v>0.63763999999999998</v>
      </c>
      <c r="G108">
        <v>6745782784</v>
      </c>
      <c r="H108">
        <v>1.2649999999999999</v>
      </c>
      <c r="I108">
        <v>0.24087</v>
      </c>
      <c r="J108">
        <v>7945999872</v>
      </c>
      <c r="K108">
        <v>4978891000</v>
      </c>
      <c r="L108">
        <v>2962390016</v>
      </c>
      <c r="M108">
        <v>124.51</v>
      </c>
      <c r="O108">
        <v>2.109</v>
      </c>
      <c r="P108">
        <v>6.9769999999999999E-2</v>
      </c>
      <c r="Q108">
        <v>24.658999999999999</v>
      </c>
      <c r="R108">
        <v>0.14394000000000001</v>
      </c>
      <c r="S108">
        <v>4292999936</v>
      </c>
      <c r="T108">
        <v>5367000064</v>
      </c>
      <c r="U108">
        <v>16741193728</v>
      </c>
      <c r="V108">
        <v>7.3369999999999997</v>
      </c>
      <c r="W108" t="s">
        <v>40</v>
      </c>
      <c r="X108">
        <v>28.879000000000001</v>
      </c>
      <c r="Y108">
        <v>1.85</v>
      </c>
      <c r="Z108" t="s">
        <v>42</v>
      </c>
      <c r="AA108" t="s">
        <v>302</v>
      </c>
      <c r="AB108">
        <v>3.3969999999999998</v>
      </c>
      <c r="AC108">
        <v>7.1559999999999997</v>
      </c>
      <c r="AD108">
        <v>9.8800000000000008</v>
      </c>
      <c r="AE108">
        <v>585089984</v>
      </c>
      <c r="AF108">
        <v>37.206000000000003</v>
      </c>
      <c r="AG108">
        <v>5.1870000000000003</v>
      </c>
      <c r="AH108">
        <v>3.3465033000000002</v>
      </c>
      <c r="AI108">
        <v>3.7000000000000002E-3</v>
      </c>
      <c r="AJ108">
        <v>56862330880</v>
      </c>
      <c r="AL108">
        <v>0.15</v>
      </c>
      <c r="AM108">
        <v>12.602226999999999</v>
      </c>
      <c r="AN108">
        <v>72849555456</v>
      </c>
    </row>
    <row r="109" spans="1:40" x14ac:dyDescent="0.3">
      <c r="A109" s="1">
        <v>119</v>
      </c>
      <c r="B109" t="s">
        <v>303</v>
      </c>
      <c r="C109" t="s">
        <v>264</v>
      </c>
      <c r="D109">
        <v>0.19108998999999999</v>
      </c>
      <c r="E109">
        <v>7.5840004000000003E-2</v>
      </c>
      <c r="F109">
        <v>0.43741000000000002</v>
      </c>
      <c r="G109">
        <v>2011000064</v>
      </c>
      <c r="H109">
        <v>0.13300000000000001</v>
      </c>
      <c r="I109">
        <v>0.16344</v>
      </c>
      <c r="J109">
        <v>2308000000</v>
      </c>
      <c r="K109">
        <v>5174000000</v>
      </c>
      <c r="L109">
        <v>1761374976</v>
      </c>
      <c r="M109">
        <v>322.94</v>
      </c>
      <c r="O109">
        <v>1.07</v>
      </c>
      <c r="P109">
        <v>3.9059999999999997E-2</v>
      </c>
      <c r="Q109">
        <v>412.57100000000003</v>
      </c>
      <c r="R109">
        <v>0.32707999999999998</v>
      </c>
      <c r="S109">
        <v>757000000</v>
      </c>
      <c r="T109">
        <v>9484999680</v>
      </c>
      <c r="U109">
        <v>12078000128</v>
      </c>
      <c r="V109">
        <v>3.4359999999999999</v>
      </c>
      <c r="W109" t="s">
        <v>40</v>
      </c>
      <c r="X109">
        <v>53.165999999999997</v>
      </c>
      <c r="Y109">
        <v>0.22600000000000001</v>
      </c>
      <c r="Z109" t="s">
        <v>42</v>
      </c>
      <c r="AA109" t="s">
        <v>304</v>
      </c>
      <c r="AB109">
        <v>6.08</v>
      </c>
      <c r="AC109">
        <v>31.815000000000001</v>
      </c>
      <c r="AD109">
        <v>13.08</v>
      </c>
      <c r="AE109">
        <v>220332000</v>
      </c>
      <c r="AF109">
        <v>9.9770000000000003</v>
      </c>
      <c r="AG109">
        <v>4.0129999999999999</v>
      </c>
      <c r="AH109">
        <v>32.368445999999999</v>
      </c>
      <c r="AI109">
        <v>9.9800010000000005E-3</v>
      </c>
      <c r="AJ109">
        <v>73428271104</v>
      </c>
      <c r="AL109">
        <v>1.78</v>
      </c>
      <c r="AM109">
        <v>24.689602000000001</v>
      </c>
      <c r="AN109">
        <v>71154016256</v>
      </c>
    </row>
    <row r="110" spans="1:40" x14ac:dyDescent="0.3">
      <c r="A110" s="1">
        <v>120</v>
      </c>
      <c r="B110" t="s">
        <v>305</v>
      </c>
      <c r="C110" t="s">
        <v>126</v>
      </c>
      <c r="D110">
        <v>0.32895999999999997</v>
      </c>
      <c r="E110">
        <v>0.28726000000000002</v>
      </c>
      <c r="F110">
        <v>0.76132005000000003</v>
      </c>
      <c r="G110">
        <v>1732099968</v>
      </c>
      <c r="H110">
        <v>0.11600000000000001</v>
      </c>
      <c r="I110">
        <v>0.30320000000000003</v>
      </c>
      <c r="J110">
        <v>1721299968</v>
      </c>
      <c r="K110">
        <v>3983600000</v>
      </c>
      <c r="L110">
        <v>1008962496</v>
      </c>
      <c r="M110">
        <v>112.37</v>
      </c>
      <c r="N110">
        <v>9.5000000000000001E-2</v>
      </c>
      <c r="O110">
        <v>3.081</v>
      </c>
      <c r="P110">
        <v>0.126</v>
      </c>
      <c r="Q110">
        <v>11.829000000000001</v>
      </c>
      <c r="R110">
        <v>0.28877002000000002</v>
      </c>
      <c r="S110">
        <v>1466800000</v>
      </c>
      <c r="T110">
        <v>690300032</v>
      </c>
      <c r="U110">
        <v>5232500224</v>
      </c>
      <c r="V110">
        <v>2.3540000000000001</v>
      </c>
      <c r="W110" t="s">
        <v>40</v>
      </c>
      <c r="X110">
        <v>8.3949999999999996</v>
      </c>
      <c r="Y110">
        <v>2.0649999999999999</v>
      </c>
      <c r="Z110" t="s">
        <v>42</v>
      </c>
      <c r="AA110" t="s">
        <v>306</v>
      </c>
      <c r="AB110">
        <v>12.756</v>
      </c>
      <c r="AC110">
        <v>38.777999999999999</v>
      </c>
      <c r="AD110">
        <v>2.58</v>
      </c>
      <c r="AE110">
        <v>624334016</v>
      </c>
      <c r="AF110">
        <v>8.8770000000000007</v>
      </c>
      <c r="AG110">
        <v>2.3250000000000002</v>
      </c>
      <c r="AH110">
        <v>12.658556000000001</v>
      </c>
      <c r="AI110">
        <v>7.4000000000000003E-3</v>
      </c>
      <c r="AJ110">
        <v>66748026880</v>
      </c>
      <c r="AK110">
        <v>8.3000000000000004E-2</v>
      </c>
      <c r="AL110">
        <v>3.7</v>
      </c>
      <c r="AM110">
        <v>43.554264000000003</v>
      </c>
      <c r="AN110">
        <v>70156419072</v>
      </c>
    </row>
    <row r="111" spans="1:40" x14ac:dyDescent="0.3">
      <c r="A111" s="1">
        <v>121</v>
      </c>
      <c r="B111" t="s">
        <v>307</v>
      </c>
      <c r="C111" t="s">
        <v>165</v>
      </c>
      <c r="D111">
        <v>0.13701999000000001</v>
      </c>
      <c r="E111">
        <v>8.4659990000000004E-2</v>
      </c>
      <c r="F111">
        <v>0.16657</v>
      </c>
      <c r="G111">
        <v>4251000064</v>
      </c>
      <c r="H111">
        <v>-1.7999999999999999E-2</v>
      </c>
      <c r="I111">
        <v>0.11387999</v>
      </c>
      <c r="J111">
        <v>5271000064</v>
      </c>
      <c r="K111">
        <v>6408000000</v>
      </c>
      <c r="L111">
        <v>2937750016</v>
      </c>
      <c r="M111">
        <v>244.36</v>
      </c>
      <c r="N111">
        <v>-2.5999999999999999E-2</v>
      </c>
      <c r="O111">
        <v>1.43</v>
      </c>
      <c r="P111">
        <v>5.4019999999999999E-2</v>
      </c>
      <c r="Q111">
        <v>74.683999999999997</v>
      </c>
      <c r="R111">
        <v>0.19559999</v>
      </c>
      <c r="S111">
        <v>1603000064</v>
      </c>
      <c r="T111">
        <v>13175000064</v>
      </c>
      <c r="U111">
        <v>38469001216</v>
      </c>
      <c r="V111">
        <v>5.7839999999999998</v>
      </c>
      <c r="W111" t="s">
        <v>40</v>
      </c>
      <c r="X111">
        <v>137.18</v>
      </c>
      <c r="Y111">
        <v>0.94</v>
      </c>
      <c r="Z111" t="s">
        <v>42</v>
      </c>
      <c r="AA111" t="s">
        <v>308</v>
      </c>
      <c r="AB111">
        <v>2.0830000000000002</v>
      </c>
      <c r="AC111">
        <v>15.199</v>
      </c>
      <c r="AD111">
        <v>12.45</v>
      </c>
      <c r="AE111">
        <v>279223008</v>
      </c>
      <c r="AF111">
        <v>56.401000000000003</v>
      </c>
      <c r="AG111">
        <v>11.651999999999999</v>
      </c>
      <c r="AH111">
        <v>4.3325469999999999</v>
      </c>
      <c r="AI111">
        <v>6.1090004000000003E-2</v>
      </c>
      <c r="AJ111">
        <v>80112336896</v>
      </c>
      <c r="AK111">
        <v>-0.05</v>
      </c>
      <c r="AL111">
        <v>2.15</v>
      </c>
      <c r="AM111">
        <v>19.627310000000001</v>
      </c>
      <c r="AN111">
        <v>68230934528</v>
      </c>
    </row>
    <row r="112" spans="1:40" x14ac:dyDescent="0.3">
      <c r="A112" s="1">
        <v>122</v>
      </c>
      <c r="B112" t="s">
        <v>309</v>
      </c>
      <c r="C112" t="s">
        <v>245</v>
      </c>
      <c r="D112">
        <v>9.9959999999999993E-2</v>
      </c>
      <c r="E112">
        <v>7.0279999999999995E-2</v>
      </c>
      <c r="F112">
        <v>9.819E-2</v>
      </c>
      <c r="G112">
        <v>7761699840</v>
      </c>
      <c r="H112">
        <v>9.4E-2</v>
      </c>
      <c r="I112">
        <v>9.2889994000000004E-2</v>
      </c>
      <c r="J112">
        <v>4766000128</v>
      </c>
      <c r="K112">
        <v>4681400000</v>
      </c>
      <c r="L112">
        <v>11285350400</v>
      </c>
      <c r="M112">
        <v>116.67</v>
      </c>
      <c r="N112">
        <v>-0.42799999999999999</v>
      </c>
      <c r="O112">
        <v>0.34</v>
      </c>
      <c r="P112">
        <v>4.0930000000000001E-2</v>
      </c>
      <c r="Q112">
        <v>27.861999999999998</v>
      </c>
      <c r="R112">
        <v>0.19001000000000001</v>
      </c>
      <c r="S112">
        <v>1129699968</v>
      </c>
      <c r="T112">
        <v>5079699968</v>
      </c>
      <c r="U112">
        <v>47676502016</v>
      </c>
      <c r="V112">
        <v>1.9319999999999999</v>
      </c>
      <c r="W112" t="s">
        <v>40</v>
      </c>
      <c r="X112">
        <v>81.567999999999998</v>
      </c>
      <c r="Y112">
        <v>0.221</v>
      </c>
      <c r="Z112" t="s">
        <v>42</v>
      </c>
      <c r="AA112" t="s">
        <v>310</v>
      </c>
      <c r="AB112">
        <v>1.4</v>
      </c>
      <c r="AC112">
        <v>14.004</v>
      </c>
      <c r="AD112">
        <v>4.6500000000000004</v>
      </c>
      <c r="AE112">
        <v>584400000</v>
      </c>
      <c r="AF112">
        <v>30.876000000000001</v>
      </c>
      <c r="AG112">
        <v>6.88</v>
      </c>
      <c r="AH112">
        <v>3.7786632</v>
      </c>
      <c r="AI112">
        <v>2.8600001000000002E-3</v>
      </c>
      <c r="AJ112">
        <v>66741964800</v>
      </c>
      <c r="AK112">
        <v>-0.42899999999999999</v>
      </c>
      <c r="AL112">
        <v>-2.77</v>
      </c>
      <c r="AM112">
        <v>25.090322</v>
      </c>
      <c r="AN112">
        <v>68181946368</v>
      </c>
    </row>
    <row r="113" spans="1:40" x14ac:dyDescent="0.3">
      <c r="A113" s="1">
        <v>123</v>
      </c>
      <c r="B113" t="s">
        <v>311</v>
      </c>
      <c r="C113" t="s">
        <v>155</v>
      </c>
      <c r="D113">
        <v>0.45467999999999997</v>
      </c>
      <c r="E113">
        <v>0.19323999</v>
      </c>
      <c r="F113">
        <v>0.49260999999999999</v>
      </c>
      <c r="G113">
        <v>3952000000</v>
      </c>
      <c r="H113">
        <v>-0.11899999999999999</v>
      </c>
      <c r="I113">
        <v>0.25505</v>
      </c>
      <c r="J113">
        <v>6185999872</v>
      </c>
      <c r="K113">
        <v>7399000000</v>
      </c>
      <c r="L113">
        <v>2827375104</v>
      </c>
      <c r="M113">
        <v>83.97</v>
      </c>
      <c r="N113">
        <v>0.93500000000000005</v>
      </c>
      <c r="O113">
        <v>0.70299999999999996</v>
      </c>
      <c r="P113">
        <v>2.1229999999999999E-2</v>
      </c>
      <c r="Q113">
        <v>152.62200000000001</v>
      </c>
      <c r="R113">
        <v>9.6390000000000003E-2</v>
      </c>
      <c r="S113">
        <v>180000000</v>
      </c>
      <c r="T113">
        <v>41562001408</v>
      </c>
      <c r="U113">
        <v>13605000192</v>
      </c>
      <c r="V113">
        <v>0.222</v>
      </c>
      <c r="W113" t="s">
        <v>40</v>
      </c>
      <c r="X113">
        <v>16.827000000000002</v>
      </c>
      <c r="Y113">
        <v>0.16900000000000001</v>
      </c>
      <c r="Z113" t="s">
        <v>42</v>
      </c>
      <c r="AA113" t="s">
        <v>312</v>
      </c>
      <c r="AB113">
        <v>7.952</v>
      </c>
      <c r="AC113">
        <v>17.488</v>
      </c>
      <c r="AD113">
        <v>4.13</v>
      </c>
      <c r="AE113">
        <v>809907968</v>
      </c>
      <c r="AF113">
        <v>30.27</v>
      </c>
      <c r="AG113">
        <v>3.1709999999999998</v>
      </c>
      <c r="AH113">
        <v>2.7740338000000002</v>
      </c>
      <c r="AI113">
        <v>2.63E-3</v>
      </c>
      <c r="AJ113">
        <v>108183052288</v>
      </c>
      <c r="AK113">
        <v>0.83699999999999997</v>
      </c>
      <c r="AL113">
        <v>2.9</v>
      </c>
      <c r="AM113">
        <v>20.331717999999999</v>
      </c>
      <c r="AN113">
        <v>68007972864</v>
      </c>
    </row>
    <row r="114" spans="1:40" x14ac:dyDescent="0.3">
      <c r="A114" s="1">
        <v>124</v>
      </c>
      <c r="B114" t="s">
        <v>313</v>
      </c>
      <c r="C114" t="s">
        <v>54</v>
      </c>
      <c r="D114">
        <v>0.11902001</v>
      </c>
      <c r="E114">
        <v>0.13156000000000001</v>
      </c>
      <c r="F114">
        <v>0.12107000499999999</v>
      </c>
      <c r="G114">
        <v>15786999808</v>
      </c>
      <c r="H114">
        <v>4.8000000000000001E-2</v>
      </c>
      <c r="I114">
        <v>7.7670000000000003E-2</v>
      </c>
      <c r="J114">
        <v>16227000320</v>
      </c>
      <c r="K114">
        <v>16507000000</v>
      </c>
      <c r="L114">
        <v>10372249600</v>
      </c>
      <c r="M114">
        <v>16.47</v>
      </c>
      <c r="O114">
        <v>1.2010000000000001</v>
      </c>
      <c r="P114">
        <v>2.5239998E-2</v>
      </c>
      <c r="Q114">
        <v>286.87599999999998</v>
      </c>
      <c r="R114">
        <v>0.45095003</v>
      </c>
      <c r="S114">
        <v>36457000960</v>
      </c>
      <c r="T114">
        <v>139485003776</v>
      </c>
      <c r="U114">
        <v>136340996096</v>
      </c>
      <c r="V114">
        <v>9.1050000000000004</v>
      </c>
      <c r="W114" t="s">
        <v>40</v>
      </c>
      <c r="X114">
        <v>34.161999999999999</v>
      </c>
      <c r="Y114">
        <v>1.0309999999999999</v>
      </c>
      <c r="Z114" t="s">
        <v>42</v>
      </c>
      <c r="AA114" t="s">
        <v>314</v>
      </c>
      <c r="AB114">
        <v>1.2849999999999999</v>
      </c>
      <c r="AC114">
        <v>10.8</v>
      </c>
      <c r="AD114">
        <v>1.99</v>
      </c>
      <c r="AE114">
        <v>3925390080</v>
      </c>
      <c r="AF114">
        <v>9.157</v>
      </c>
      <c r="AG114">
        <v>0.71299999999999997</v>
      </c>
      <c r="AH114">
        <v>1.798624</v>
      </c>
      <c r="AI114">
        <v>2.7700000999999999E-3</v>
      </c>
      <c r="AJ114">
        <v>175247491072</v>
      </c>
      <c r="AL114">
        <v>0.16</v>
      </c>
      <c r="AM114">
        <v>8.2763814999999994</v>
      </c>
      <c r="AN114">
        <v>65818066944</v>
      </c>
    </row>
    <row r="115" spans="1:40" x14ac:dyDescent="0.3">
      <c r="A115" s="1">
        <v>125</v>
      </c>
      <c r="B115" t="s">
        <v>315</v>
      </c>
      <c r="C115" t="s">
        <v>223</v>
      </c>
      <c r="D115">
        <v>0.27779999999999999</v>
      </c>
      <c r="E115">
        <v>0.19134999999999999</v>
      </c>
      <c r="F115">
        <v>0.41772997000000001</v>
      </c>
      <c r="G115">
        <v>2556000000</v>
      </c>
      <c r="H115">
        <v>7.4999999999999997E-2</v>
      </c>
      <c r="I115">
        <v>0.24895999999999999</v>
      </c>
      <c r="J115">
        <v>3959000064</v>
      </c>
      <c r="K115">
        <v>5199000000</v>
      </c>
      <c r="L115">
        <v>1769374976</v>
      </c>
      <c r="M115">
        <v>211.75</v>
      </c>
      <c r="N115">
        <v>0.104</v>
      </c>
      <c r="O115">
        <v>2.1949999999999998</v>
      </c>
      <c r="P115">
        <v>0.14562</v>
      </c>
      <c r="Q115">
        <v>216.17500000000001</v>
      </c>
      <c r="R115">
        <v>0.88109999999999999</v>
      </c>
      <c r="S115">
        <v>1987000064</v>
      </c>
      <c r="T115">
        <v>7551000064</v>
      </c>
      <c r="U115">
        <v>14250999808</v>
      </c>
      <c r="V115">
        <v>6.33</v>
      </c>
      <c r="W115" t="s">
        <v>40</v>
      </c>
      <c r="X115">
        <v>45.109000000000002</v>
      </c>
      <c r="Y115">
        <v>1.5740000000000001</v>
      </c>
      <c r="Z115" t="s">
        <v>42</v>
      </c>
      <c r="AA115" t="s">
        <v>316</v>
      </c>
      <c r="AB115">
        <v>5.8220000000000001</v>
      </c>
      <c r="AC115">
        <v>20.957000000000001</v>
      </c>
      <c r="AD115">
        <v>9.09</v>
      </c>
      <c r="AE115">
        <v>313880992</v>
      </c>
      <c r="AF115">
        <v>11.125</v>
      </c>
      <c r="AG115">
        <v>8.5990000000000002</v>
      </c>
      <c r="AH115">
        <v>19.033709000000002</v>
      </c>
      <c r="AI115">
        <v>2.4499999999999999E-3</v>
      </c>
      <c r="AJ115">
        <v>82967986176</v>
      </c>
      <c r="AK115">
        <v>9.8000000000000004E-2</v>
      </c>
      <c r="AL115">
        <v>2.1</v>
      </c>
      <c r="AM115">
        <v>23.294827999999999</v>
      </c>
      <c r="AN115">
        <v>66464301056</v>
      </c>
    </row>
    <row r="116" spans="1:40" x14ac:dyDescent="0.3">
      <c r="A116" s="1">
        <v>126</v>
      </c>
      <c r="B116" t="s">
        <v>317</v>
      </c>
      <c r="C116" t="s">
        <v>210</v>
      </c>
      <c r="D116">
        <v>0.70682</v>
      </c>
      <c r="E116">
        <v>0.50629000000000002</v>
      </c>
      <c r="F116">
        <v>0.73858999999999997</v>
      </c>
      <c r="G116">
        <v>2327281920</v>
      </c>
      <c r="H116">
        <v>0.22800000000000001</v>
      </c>
      <c r="I116">
        <v>0.51163000000000003</v>
      </c>
      <c r="J116">
        <v>2352130048</v>
      </c>
      <c r="K116">
        <v>2116803000</v>
      </c>
      <c r="L116">
        <v>1662701312</v>
      </c>
      <c r="M116">
        <v>376</v>
      </c>
      <c r="N116">
        <v>0.78700000000000003</v>
      </c>
      <c r="O116">
        <v>2.0750000000000002</v>
      </c>
      <c r="P116">
        <v>7.9799999999999996E-2</v>
      </c>
      <c r="Q116">
        <v>63.881999999999998</v>
      </c>
      <c r="R116">
        <v>0.19327</v>
      </c>
      <c r="S116">
        <v>958246976</v>
      </c>
      <c r="T116">
        <v>5773190144</v>
      </c>
      <c r="U116">
        <v>3327759872</v>
      </c>
      <c r="V116">
        <v>5.4649999999999999</v>
      </c>
      <c r="W116" t="s">
        <v>40</v>
      </c>
      <c r="X116">
        <v>19.045999999999999</v>
      </c>
      <c r="Y116">
        <v>2.02</v>
      </c>
      <c r="Z116" t="s">
        <v>42</v>
      </c>
      <c r="AA116" t="s">
        <v>318</v>
      </c>
      <c r="AB116">
        <v>21.893999999999998</v>
      </c>
      <c r="AC116">
        <v>30.975999999999999</v>
      </c>
      <c r="AD116">
        <v>9.17</v>
      </c>
      <c r="AE116">
        <v>175355008</v>
      </c>
      <c r="AF116">
        <v>28.577000000000002</v>
      </c>
      <c r="AG116">
        <v>8.3710000000000004</v>
      </c>
      <c r="AH116">
        <v>13.157434</v>
      </c>
      <c r="AI116">
        <v>0.13552</v>
      </c>
      <c r="AJ116">
        <v>72859566080</v>
      </c>
      <c r="AK116">
        <v>0.50900000000000001</v>
      </c>
      <c r="AL116">
        <v>2.41</v>
      </c>
      <c r="AM116">
        <v>41.003273</v>
      </c>
      <c r="AN116">
        <v>65933484032</v>
      </c>
    </row>
    <row r="117" spans="1:40" x14ac:dyDescent="0.3">
      <c r="A117" s="1">
        <v>127</v>
      </c>
      <c r="B117" t="s">
        <v>319</v>
      </c>
      <c r="C117" t="s">
        <v>113</v>
      </c>
      <c r="D117">
        <v>0.35433999999999999</v>
      </c>
      <c r="E117">
        <v>8.2339999999999997E-2</v>
      </c>
      <c r="F117">
        <v>0.51497000000000004</v>
      </c>
      <c r="G117">
        <v>3876999936</v>
      </c>
      <c r="H117">
        <v>0.1</v>
      </c>
      <c r="I117">
        <v>0.15664</v>
      </c>
      <c r="J117">
        <v>5599000064</v>
      </c>
      <c r="K117">
        <v>7158000000</v>
      </c>
      <c r="L117">
        <v>3343749888</v>
      </c>
      <c r="M117">
        <v>100.51</v>
      </c>
      <c r="N117">
        <v>0.64100000000000001</v>
      </c>
      <c r="O117">
        <v>1.0489999999999999</v>
      </c>
      <c r="P117">
        <v>2.0879999999999999E-2</v>
      </c>
      <c r="Q117">
        <v>64.415000000000006</v>
      </c>
      <c r="R117">
        <v>4.1700000000000001E-2</v>
      </c>
      <c r="S117">
        <v>933000000</v>
      </c>
      <c r="T117">
        <v>20988999680</v>
      </c>
      <c r="U117">
        <v>15800999936</v>
      </c>
      <c r="V117">
        <v>1.413</v>
      </c>
      <c r="W117" t="s">
        <v>40</v>
      </c>
      <c r="X117">
        <v>23.722000000000001</v>
      </c>
      <c r="Y117">
        <v>0.21199999999999999</v>
      </c>
      <c r="Z117" t="s">
        <v>42</v>
      </c>
      <c r="AA117" t="s">
        <v>320</v>
      </c>
      <c r="AB117">
        <v>5.8860000000000001</v>
      </c>
      <c r="AC117">
        <v>16.611999999999998</v>
      </c>
      <c r="AD117">
        <v>6.47</v>
      </c>
      <c r="AE117">
        <v>660232000</v>
      </c>
      <c r="AF117">
        <v>47.872999999999998</v>
      </c>
      <c r="AG117">
        <v>1.93</v>
      </c>
      <c r="AH117">
        <v>2.0995132999999999</v>
      </c>
      <c r="AI117">
        <v>4.5599999999999998E-3</v>
      </c>
      <c r="AJ117">
        <v>93009281024</v>
      </c>
      <c r="AK117">
        <v>0.621</v>
      </c>
      <c r="AL117">
        <v>1.04</v>
      </c>
      <c r="AM117">
        <v>15.534777</v>
      </c>
      <c r="AN117">
        <v>66359918592</v>
      </c>
    </row>
    <row r="118" spans="1:40" x14ac:dyDescent="0.3">
      <c r="A118" s="1">
        <v>128</v>
      </c>
      <c r="B118" t="s">
        <v>321</v>
      </c>
      <c r="C118" t="s">
        <v>158</v>
      </c>
      <c r="D118">
        <v>0.17471999999999999</v>
      </c>
      <c r="E118">
        <v>0.10001001</v>
      </c>
      <c r="F118">
        <v>0.44693001999999998</v>
      </c>
      <c r="G118">
        <v>2895500032</v>
      </c>
      <c r="H118">
        <v>5.0000000000000001E-3</v>
      </c>
      <c r="I118">
        <v>0.14523</v>
      </c>
      <c r="J118">
        <v>3436999936</v>
      </c>
      <c r="K118">
        <v>8682600000</v>
      </c>
      <c r="L118">
        <v>2258524928</v>
      </c>
      <c r="M118">
        <v>245.21</v>
      </c>
      <c r="N118">
        <v>-0.26300000000000001</v>
      </c>
      <c r="O118">
        <v>0.83</v>
      </c>
      <c r="P118">
        <v>8.5949999999999999E-2</v>
      </c>
      <c r="Q118">
        <v>401.78</v>
      </c>
      <c r="R118">
        <v>0.57045999999999997</v>
      </c>
      <c r="S118">
        <v>313300000</v>
      </c>
      <c r="T118">
        <v>10809100288</v>
      </c>
      <c r="U118">
        <v>19671300096</v>
      </c>
      <c r="V118">
        <v>1.198</v>
      </c>
      <c r="W118" t="s">
        <v>40</v>
      </c>
      <c r="X118">
        <v>74.301000000000002</v>
      </c>
      <c r="Y118">
        <v>0.44900000000000001</v>
      </c>
      <c r="Z118" t="s">
        <v>42</v>
      </c>
      <c r="AA118" t="s">
        <v>322</v>
      </c>
      <c r="AB118">
        <v>4.9980000000000002</v>
      </c>
      <c r="AC118">
        <v>28.606000000000002</v>
      </c>
      <c r="AD118">
        <v>10.199999999999999</v>
      </c>
      <c r="AE118">
        <v>262196000</v>
      </c>
      <c r="AF118">
        <v>10.284000000000001</v>
      </c>
      <c r="AG118">
        <v>7.2990000000000004</v>
      </c>
      <c r="AH118">
        <v>23.843834000000001</v>
      </c>
      <c r="AI118">
        <v>8.7660000000000002E-2</v>
      </c>
      <c r="AJ118">
        <v>98320154624</v>
      </c>
      <c r="AK118">
        <v>-0.28799999999999998</v>
      </c>
      <c r="AL118">
        <v>3.07</v>
      </c>
      <c r="AM118">
        <v>24.040196999999999</v>
      </c>
      <c r="AN118">
        <v>64293081088</v>
      </c>
    </row>
    <row r="119" spans="1:40" x14ac:dyDescent="0.3">
      <c r="A119" s="1">
        <v>129</v>
      </c>
      <c r="B119" t="s">
        <v>323</v>
      </c>
      <c r="C119" t="s">
        <v>218</v>
      </c>
      <c r="D119">
        <v>0.42414000000000002</v>
      </c>
      <c r="E119">
        <v>6.54E-2</v>
      </c>
      <c r="F119">
        <v>0.48144999999999999</v>
      </c>
      <c r="G119">
        <v>2341249024</v>
      </c>
      <c r="H119">
        <v>0.112</v>
      </c>
      <c r="I119">
        <v>0.17733999</v>
      </c>
      <c r="J119">
        <v>2775002880</v>
      </c>
      <c r="K119">
        <v>2888768000</v>
      </c>
      <c r="L119">
        <v>2348613632</v>
      </c>
      <c r="M119">
        <v>710.14</v>
      </c>
      <c r="N119">
        <v>1.27</v>
      </c>
      <c r="O119">
        <v>1.6279999999999999</v>
      </c>
      <c r="P119">
        <v>2.6749999999999999E-2</v>
      </c>
      <c r="Q119">
        <v>142.51400000000001</v>
      </c>
      <c r="R119">
        <v>4.0480000000000002E-2</v>
      </c>
      <c r="S119">
        <v>1379100032</v>
      </c>
      <c r="T119">
        <v>15061740544</v>
      </c>
      <c r="U119">
        <v>6542705152</v>
      </c>
      <c r="V119">
        <v>15.316000000000001</v>
      </c>
      <c r="W119" t="s">
        <v>40</v>
      </c>
      <c r="X119">
        <v>73.11</v>
      </c>
      <c r="Y119">
        <v>1.2190000000000001</v>
      </c>
      <c r="Z119" t="s">
        <v>42</v>
      </c>
      <c r="AA119" t="s">
        <v>324</v>
      </c>
      <c r="AB119">
        <v>13.302</v>
      </c>
      <c r="AC119">
        <v>31.363</v>
      </c>
      <c r="AD119">
        <v>7.73</v>
      </c>
      <c r="AE119">
        <v>90041200</v>
      </c>
      <c r="AF119">
        <v>117.377</v>
      </c>
      <c r="AG119">
        <v>4.7430000000000003</v>
      </c>
      <c r="AH119">
        <v>6.0500780000000001</v>
      </c>
      <c r="AI119">
        <v>3.2499998000000002E-3</v>
      </c>
      <c r="AJ119">
        <v>87032717312</v>
      </c>
      <c r="AK119">
        <v>1.2829999999999999</v>
      </c>
      <c r="AL119">
        <v>3.99</v>
      </c>
      <c r="AM119">
        <v>91.868049999999997</v>
      </c>
      <c r="AN119">
        <v>63941857280</v>
      </c>
    </row>
    <row r="120" spans="1:40" x14ac:dyDescent="0.3">
      <c r="A120" s="1">
        <v>130</v>
      </c>
      <c r="B120" t="s">
        <v>325</v>
      </c>
      <c r="C120" t="s">
        <v>54</v>
      </c>
      <c r="D120">
        <v>0.13302</v>
      </c>
      <c r="E120">
        <v>7.8889996000000004E-2</v>
      </c>
      <c r="F120">
        <v>0.14235</v>
      </c>
      <c r="G120">
        <v>15187999744</v>
      </c>
      <c r="H120">
        <v>-0.105</v>
      </c>
      <c r="I120">
        <v>9.0029999999999999E-2</v>
      </c>
      <c r="J120">
        <v>16894000128</v>
      </c>
      <c r="K120">
        <v>18079000000</v>
      </c>
      <c r="L120">
        <v>-8245499904</v>
      </c>
      <c r="M120">
        <v>43.65</v>
      </c>
      <c r="N120">
        <v>-0.40100000000000002</v>
      </c>
      <c r="O120">
        <v>1.103</v>
      </c>
      <c r="P120">
        <v>2.9779999000000001E-2</v>
      </c>
      <c r="Q120">
        <v>168.03899999999999</v>
      </c>
      <c r="R120">
        <v>0.17222000000000001</v>
      </c>
      <c r="S120">
        <v>24675999744</v>
      </c>
      <c r="T120">
        <v>110594998272</v>
      </c>
      <c r="U120">
        <v>127004000256</v>
      </c>
      <c r="V120">
        <v>16.983000000000001</v>
      </c>
      <c r="W120" t="s">
        <v>40</v>
      </c>
      <c r="X120">
        <v>87.528999999999996</v>
      </c>
      <c r="Y120">
        <v>0.84299999999999997</v>
      </c>
      <c r="Z120" t="s">
        <v>42</v>
      </c>
      <c r="AA120" t="s">
        <v>326</v>
      </c>
      <c r="AB120">
        <v>1.2829999999999999</v>
      </c>
      <c r="AC120">
        <v>9.6449999999999996</v>
      </c>
      <c r="AD120">
        <v>6.83</v>
      </c>
      <c r="AE120">
        <v>1451859968</v>
      </c>
      <c r="AF120">
        <v>36.1</v>
      </c>
      <c r="AG120">
        <v>7.4720000000000004</v>
      </c>
      <c r="AH120">
        <v>1.2091414</v>
      </c>
      <c r="AI120">
        <v>4.8939999999999997E-2</v>
      </c>
      <c r="AJ120">
        <v>162941026304</v>
      </c>
      <c r="AK120">
        <v>-0.38800000000000001</v>
      </c>
      <c r="AL120">
        <v>0.64</v>
      </c>
      <c r="AM120">
        <v>6.3909225000000003</v>
      </c>
      <c r="AN120">
        <v>63373688832</v>
      </c>
    </row>
    <row r="121" spans="1:40" x14ac:dyDescent="0.3">
      <c r="A121" s="1">
        <v>131</v>
      </c>
      <c r="B121" t="s">
        <v>328</v>
      </c>
      <c r="C121" t="s">
        <v>327</v>
      </c>
      <c r="D121">
        <v>0.28476000000000001</v>
      </c>
      <c r="E121">
        <v>0.10092</v>
      </c>
      <c r="F121">
        <v>0.38476001999999998</v>
      </c>
      <c r="G121">
        <v>4100000000</v>
      </c>
      <c r="H121">
        <v>0.20799999999999999</v>
      </c>
      <c r="I121">
        <v>0.17360999999999999</v>
      </c>
      <c r="J121">
        <v>4931999744</v>
      </c>
      <c r="K121">
        <v>5877000000</v>
      </c>
      <c r="L121">
        <v>2592499968</v>
      </c>
      <c r="M121">
        <v>156.28</v>
      </c>
      <c r="N121">
        <v>0.39100000000000001</v>
      </c>
      <c r="O121">
        <v>0.77600000000000002</v>
      </c>
      <c r="P121">
        <v>7.0110000000000006E-2</v>
      </c>
      <c r="Q121">
        <v>181.86500000000001</v>
      </c>
      <c r="R121">
        <v>0.24409</v>
      </c>
      <c r="S121">
        <v>116000000</v>
      </c>
      <c r="T121">
        <v>13047000064</v>
      </c>
      <c r="U121">
        <v>17319999488</v>
      </c>
      <c r="V121">
        <v>0.27700000000000002</v>
      </c>
      <c r="W121" t="s">
        <v>40</v>
      </c>
      <c r="X121">
        <v>41.076999999999998</v>
      </c>
      <c r="Y121">
        <v>0.67900000000000005</v>
      </c>
      <c r="Z121" t="s">
        <v>42</v>
      </c>
      <c r="AA121" t="s">
        <v>329</v>
      </c>
      <c r="AB121">
        <v>4.7149999999999999</v>
      </c>
      <c r="AC121">
        <v>16.558</v>
      </c>
      <c r="AD121">
        <v>5.53</v>
      </c>
      <c r="AE121">
        <v>418316000</v>
      </c>
      <c r="AF121">
        <v>17.146000000000001</v>
      </c>
      <c r="AG121">
        <v>4.12</v>
      </c>
      <c r="AH121">
        <v>9.1146619999999992</v>
      </c>
      <c r="AI121">
        <v>1.2800000999999999E-3</v>
      </c>
      <c r="AJ121">
        <v>81662377984</v>
      </c>
      <c r="AK121">
        <v>0.379</v>
      </c>
      <c r="AL121">
        <v>2.2000000000000002</v>
      </c>
      <c r="AM121">
        <v>28.260397000000001</v>
      </c>
      <c r="AN121">
        <v>65374425088</v>
      </c>
    </row>
    <row r="122" spans="1:40" x14ac:dyDescent="0.3">
      <c r="A122" s="1">
        <v>132</v>
      </c>
      <c r="B122" t="s">
        <v>330</v>
      </c>
      <c r="C122" t="s">
        <v>289</v>
      </c>
      <c r="D122">
        <v>0.38861000000000001</v>
      </c>
      <c r="E122">
        <v>0.30523001999999999</v>
      </c>
      <c r="F122">
        <v>0.48338002000000002</v>
      </c>
      <c r="G122">
        <v>2140039040</v>
      </c>
      <c r="H122">
        <v>0.28999999999999998</v>
      </c>
      <c r="I122">
        <v>0.37162998000000003</v>
      </c>
      <c r="J122">
        <v>2770692096</v>
      </c>
      <c r="K122">
        <v>3639846000</v>
      </c>
      <c r="L122">
        <v>1262742784</v>
      </c>
      <c r="M122">
        <v>253.95</v>
      </c>
      <c r="N122">
        <v>0.29599999999999999</v>
      </c>
      <c r="O122">
        <v>4.625</v>
      </c>
      <c r="P122">
        <v>0.13846</v>
      </c>
      <c r="Q122">
        <v>9.1999999999999993</v>
      </c>
      <c r="R122">
        <v>0.24639</v>
      </c>
      <c r="S122">
        <v>6960885248</v>
      </c>
      <c r="T122">
        <v>876800000</v>
      </c>
      <c r="U122">
        <v>7129658880</v>
      </c>
      <c r="V122">
        <v>27.378</v>
      </c>
      <c r="W122" t="s">
        <v>40</v>
      </c>
      <c r="X122">
        <v>27.564</v>
      </c>
      <c r="Y122">
        <v>4.2110000000000003</v>
      </c>
      <c r="Z122" t="s">
        <v>42</v>
      </c>
      <c r="AA122" t="s">
        <v>331</v>
      </c>
      <c r="AB122">
        <v>7.0579999999999998</v>
      </c>
      <c r="AC122">
        <v>18.163</v>
      </c>
      <c r="AD122">
        <v>13.4</v>
      </c>
      <c r="AE122">
        <v>254252000</v>
      </c>
      <c r="AF122">
        <v>37.198999999999998</v>
      </c>
      <c r="AG122">
        <v>8.3379999999999992</v>
      </c>
      <c r="AH122">
        <v>6.8267959999999999</v>
      </c>
      <c r="AI122">
        <v>1.64E-3</v>
      </c>
      <c r="AJ122">
        <v>50324250624</v>
      </c>
      <c r="AK122">
        <v>0.27600000000000002</v>
      </c>
      <c r="AL122">
        <v>1.71</v>
      </c>
      <c r="AM122">
        <v>18.951491999999998</v>
      </c>
      <c r="AN122">
        <v>64567296000</v>
      </c>
    </row>
    <row r="123" spans="1:40" x14ac:dyDescent="0.3">
      <c r="A123" s="1">
        <v>133</v>
      </c>
      <c r="B123" t="s">
        <v>333</v>
      </c>
      <c r="C123" t="s">
        <v>332</v>
      </c>
      <c r="D123">
        <v>0.37637999999999999</v>
      </c>
      <c r="E123">
        <v>0.29209000000000002</v>
      </c>
      <c r="F123">
        <v>0.72647004999999998</v>
      </c>
      <c r="G123">
        <v>2892999936</v>
      </c>
      <c r="H123">
        <v>5.8999999999999997E-2</v>
      </c>
      <c r="I123">
        <v>0.36168998000000002</v>
      </c>
      <c r="J123">
        <v>3407000064</v>
      </c>
      <c r="K123">
        <v>5826000000</v>
      </c>
      <c r="L123">
        <v>2751749888</v>
      </c>
      <c r="M123">
        <v>79.599999999999994</v>
      </c>
      <c r="N123">
        <v>5.0999999999999997E-2</v>
      </c>
      <c r="O123">
        <v>5.5609999999999999</v>
      </c>
      <c r="P123">
        <v>8.9840000000000003E-2</v>
      </c>
      <c r="Q123">
        <v>21.28</v>
      </c>
      <c r="R123">
        <v>0.16877001999999999</v>
      </c>
      <c r="S123">
        <v>10000000000</v>
      </c>
      <c r="T123">
        <v>3607000064</v>
      </c>
      <c r="U123">
        <v>9052000256</v>
      </c>
      <c r="V123">
        <v>12.839</v>
      </c>
      <c r="W123" t="s">
        <v>40</v>
      </c>
      <c r="X123">
        <v>11.672000000000001</v>
      </c>
      <c r="Y123">
        <v>5.25</v>
      </c>
      <c r="Z123" t="s">
        <v>42</v>
      </c>
      <c r="AA123" t="s">
        <v>334</v>
      </c>
      <c r="AB123">
        <v>5.0759999999999996</v>
      </c>
      <c r="AC123">
        <v>13.486000000000001</v>
      </c>
      <c r="AD123">
        <v>3.8</v>
      </c>
      <c r="AE123">
        <v>778889024</v>
      </c>
      <c r="AF123">
        <v>21.765000000000001</v>
      </c>
      <c r="AG123">
        <v>3.371</v>
      </c>
      <c r="AH123">
        <v>3.6572480000000001</v>
      </c>
      <c r="AI123">
        <v>7.2700000000000004E-3</v>
      </c>
      <c r="AJ123">
        <v>45948313600</v>
      </c>
      <c r="AK123">
        <v>5.8000000000000003E-2</v>
      </c>
      <c r="AL123">
        <v>1.33</v>
      </c>
      <c r="AM123">
        <v>20.947368999999998</v>
      </c>
      <c r="AN123">
        <v>61999566848</v>
      </c>
    </row>
    <row r="124" spans="1:40" x14ac:dyDescent="0.3">
      <c r="A124" s="1">
        <v>134</v>
      </c>
      <c r="B124" t="s">
        <v>336</v>
      </c>
      <c r="C124" t="s">
        <v>335</v>
      </c>
      <c r="D124">
        <v>0.49495998000000002</v>
      </c>
      <c r="E124">
        <v>0.16670999</v>
      </c>
      <c r="F124">
        <v>0.53476000000000001</v>
      </c>
      <c r="G124">
        <v>4665999872</v>
      </c>
      <c r="H124">
        <v>-8.6999999999999994E-2</v>
      </c>
      <c r="I124">
        <v>0.30442999999999998</v>
      </c>
      <c r="J124">
        <v>6045000192</v>
      </c>
      <c r="K124">
        <v>6159000000</v>
      </c>
      <c r="L124">
        <v>2937125120</v>
      </c>
      <c r="M124">
        <v>78.95</v>
      </c>
      <c r="N124">
        <v>-0.996</v>
      </c>
      <c r="O124">
        <v>2.67</v>
      </c>
      <c r="P124">
        <v>5.7789996000000003E-2</v>
      </c>
      <c r="Q124">
        <v>26.806000000000001</v>
      </c>
      <c r="R124">
        <v>7.2529999999999997E-2</v>
      </c>
      <c r="S124">
        <v>4792999936</v>
      </c>
      <c r="T124">
        <v>6241999872</v>
      </c>
      <c r="U124">
        <v>12213000192</v>
      </c>
      <c r="V124">
        <v>6.0110000000000001</v>
      </c>
      <c r="W124" t="s">
        <v>40</v>
      </c>
      <c r="X124">
        <v>15.247</v>
      </c>
      <c r="Y124">
        <v>1.8320000000000001</v>
      </c>
      <c r="Z124" t="s">
        <v>42</v>
      </c>
      <c r="AA124" t="s">
        <v>337</v>
      </c>
      <c r="AB124">
        <v>4.1109999999999998</v>
      </c>
      <c r="AC124">
        <v>8.3059999999999992</v>
      </c>
      <c r="AD124">
        <v>2.75</v>
      </c>
      <c r="AE124">
        <v>797435008</v>
      </c>
      <c r="AF124">
        <v>28.460999999999999</v>
      </c>
      <c r="AG124">
        <v>2.5369999999999999</v>
      </c>
      <c r="AH124">
        <v>2.7739712999999999</v>
      </c>
      <c r="AI124">
        <v>1.0800001E-3</v>
      </c>
      <c r="AJ124">
        <v>50212016128</v>
      </c>
      <c r="AK124">
        <v>-0.996</v>
      </c>
      <c r="AM124">
        <v>28.70909</v>
      </c>
      <c r="AN124">
        <v>62957490176</v>
      </c>
    </row>
    <row r="125" spans="1:40" x14ac:dyDescent="0.3">
      <c r="A125" s="1">
        <v>135</v>
      </c>
      <c r="B125" t="s">
        <v>338</v>
      </c>
      <c r="C125" t="s">
        <v>74</v>
      </c>
      <c r="D125">
        <v>0.25181999999999999</v>
      </c>
      <c r="E125">
        <v>0.12433</v>
      </c>
      <c r="F125">
        <v>0.59553999999999996</v>
      </c>
      <c r="G125">
        <v>3324999936</v>
      </c>
      <c r="H125">
        <v>1.7999999999999999E-2</v>
      </c>
      <c r="I125">
        <v>0.21990999999999999</v>
      </c>
      <c r="J125">
        <v>4386999808</v>
      </c>
      <c r="K125">
        <v>10375000000</v>
      </c>
      <c r="L125">
        <v>2148375040</v>
      </c>
      <c r="M125">
        <v>74.78</v>
      </c>
      <c r="N125">
        <v>-0.77700000000000002</v>
      </c>
      <c r="O125">
        <v>1.085</v>
      </c>
      <c r="P125">
        <v>0.15467</v>
      </c>
      <c r="Q125">
        <v>808.85699999999997</v>
      </c>
      <c r="R125">
        <v>2.2567599999999999</v>
      </c>
      <c r="S125">
        <v>871000000</v>
      </c>
      <c r="T125">
        <v>7854000128</v>
      </c>
      <c r="U125">
        <v>17421000704</v>
      </c>
      <c r="V125">
        <v>1.036</v>
      </c>
      <c r="W125" t="s">
        <v>40</v>
      </c>
      <c r="X125">
        <v>20.617000000000001</v>
      </c>
      <c r="Y125">
        <v>0.53500000000000003</v>
      </c>
      <c r="Z125" t="s">
        <v>42</v>
      </c>
      <c r="AA125" t="s">
        <v>339</v>
      </c>
      <c r="AB125">
        <v>4.1210000000000004</v>
      </c>
      <c r="AC125">
        <v>16.364999999999998</v>
      </c>
      <c r="AD125">
        <v>3.39</v>
      </c>
      <c r="AE125">
        <v>842849024</v>
      </c>
      <c r="AF125">
        <v>0.70099999999999996</v>
      </c>
      <c r="AG125">
        <v>3.14</v>
      </c>
      <c r="AH125">
        <v>106.67618</v>
      </c>
      <c r="AI125">
        <v>9.3999993999999999E-4</v>
      </c>
      <c r="AJ125">
        <v>71793557504</v>
      </c>
      <c r="AK125">
        <v>-0.77100000000000002</v>
      </c>
      <c r="AL125">
        <v>4.32</v>
      </c>
      <c r="AM125">
        <v>22.058996</v>
      </c>
      <c r="AN125">
        <v>63028248576</v>
      </c>
    </row>
    <row r="126" spans="1:40" x14ac:dyDescent="0.3">
      <c r="A126" s="1">
        <v>136</v>
      </c>
      <c r="B126" t="s">
        <v>340</v>
      </c>
      <c r="C126" t="s">
        <v>223</v>
      </c>
      <c r="D126">
        <v>0.17194999999999999</v>
      </c>
      <c r="E126">
        <v>0.10923000400000001</v>
      </c>
      <c r="F126">
        <v>0.32274999999999998</v>
      </c>
      <c r="H126">
        <v>2.4E-2</v>
      </c>
      <c r="I126">
        <v>0.12548000000000001</v>
      </c>
      <c r="J126">
        <v>3374999808</v>
      </c>
      <c r="K126">
        <v>6335000000</v>
      </c>
      <c r="M126">
        <v>154.18</v>
      </c>
      <c r="N126">
        <v>0.158</v>
      </c>
      <c r="O126">
        <v>1.0409999999999999</v>
      </c>
      <c r="P126">
        <v>4.675E-2</v>
      </c>
      <c r="Q126">
        <v>54.197000000000003</v>
      </c>
      <c r="R126">
        <v>0.13658000000000001</v>
      </c>
      <c r="S126">
        <v>568000000</v>
      </c>
      <c r="T126">
        <v>8915999744</v>
      </c>
      <c r="U126">
        <v>19627999232</v>
      </c>
      <c r="V126">
        <v>1.4239999999999999</v>
      </c>
      <c r="W126" t="s">
        <v>40</v>
      </c>
      <c r="X126">
        <v>49.23</v>
      </c>
      <c r="Y126">
        <v>0.53600000000000003</v>
      </c>
      <c r="Z126" t="s">
        <v>42</v>
      </c>
      <c r="AA126" t="s">
        <v>341</v>
      </c>
      <c r="AB126">
        <v>3.4889999999999999</v>
      </c>
      <c r="AC126">
        <v>20.292000000000002</v>
      </c>
      <c r="AD126">
        <v>7.42</v>
      </c>
      <c r="AE126">
        <v>398600000</v>
      </c>
      <c r="AF126">
        <v>40.067999999999998</v>
      </c>
      <c r="AG126">
        <v>5.1529999999999996</v>
      </c>
      <c r="AH126">
        <v>3.8479583000000002</v>
      </c>
      <c r="AI126">
        <v>1.99E-3</v>
      </c>
      <c r="AJ126">
        <v>68484272128</v>
      </c>
      <c r="AK126">
        <v>0.16</v>
      </c>
      <c r="AL126">
        <v>1.23</v>
      </c>
      <c r="AM126">
        <v>20.778974999999999</v>
      </c>
      <c r="AN126">
        <v>61456146432</v>
      </c>
    </row>
    <row r="127" spans="1:40" x14ac:dyDescent="0.3">
      <c r="A127" s="1">
        <v>137</v>
      </c>
      <c r="B127" t="s">
        <v>342</v>
      </c>
      <c r="C127" t="s">
        <v>126</v>
      </c>
      <c r="D127">
        <v>0.26773999999999998</v>
      </c>
      <c r="E127">
        <v>0.10077999999999999</v>
      </c>
      <c r="F127">
        <v>0.70357000000000003</v>
      </c>
      <c r="G127">
        <v>2064999936</v>
      </c>
      <c r="H127">
        <v>0.10299999999999999</v>
      </c>
      <c r="I127">
        <v>0.17254</v>
      </c>
      <c r="J127">
        <v>3071000064</v>
      </c>
      <c r="K127">
        <v>6793000000</v>
      </c>
      <c r="L127">
        <v>2259124992</v>
      </c>
      <c r="M127">
        <v>43.5</v>
      </c>
      <c r="O127">
        <v>1.5489999999999999</v>
      </c>
      <c r="P127">
        <v>3.9440000000000003E-2</v>
      </c>
      <c r="Q127">
        <v>57.478000000000002</v>
      </c>
      <c r="R127">
        <v>7.2190000000000004E-2</v>
      </c>
      <c r="S127">
        <v>1947000064</v>
      </c>
      <c r="T127">
        <v>9461999616</v>
      </c>
      <c r="U127">
        <v>11470000128</v>
      </c>
      <c r="V127">
        <v>1.3660000000000001</v>
      </c>
      <c r="W127" t="s">
        <v>40</v>
      </c>
      <c r="X127">
        <v>8.0609999999999999</v>
      </c>
      <c r="Y127">
        <v>0.89900000000000002</v>
      </c>
      <c r="Z127" t="s">
        <v>42</v>
      </c>
      <c r="AA127" t="s">
        <v>343</v>
      </c>
      <c r="AB127">
        <v>6.077</v>
      </c>
      <c r="AC127">
        <v>22.696999999999999</v>
      </c>
      <c r="AD127">
        <v>1.87</v>
      </c>
      <c r="AE127">
        <v>1424989952</v>
      </c>
      <c r="AF127">
        <v>11.554</v>
      </c>
      <c r="AG127">
        <v>0.76900000000000002</v>
      </c>
      <c r="AH127">
        <v>3.7649300000000001</v>
      </c>
      <c r="AI127">
        <v>2.3100001E-3</v>
      </c>
      <c r="AJ127">
        <v>69701672960</v>
      </c>
      <c r="AL127">
        <v>1.18</v>
      </c>
      <c r="AM127">
        <v>23.262032000000001</v>
      </c>
      <c r="AN127">
        <v>61987061760</v>
      </c>
    </row>
    <row r="128" spans="1:40" x14ac:dyDescent="0.3">
      <c r="A128" s="1">
        <v>138</v>
      </c>
      <c r="B128" t="s">
        <v>344</v>
      </c>
      <c r="C128" t="s">
        <v>179</v>
      </c>
      <c r="D128">
        <v>0.51632999999999996</v>
      </c>
      <c r="E128">
        <v>0.35199000000000003</v>
      </c>
      <c r="F128">
        <v>0.73848000000000003</v>
      </c>
      <c r="G128">
        <v>2364000000</v>
      </c>
      <c r="H128">
        <v>0.125</v>
      </c>
      <c r="I128">
        <v>0.47662997000000001</v>
      </c>
      <c r="J128">
        <v>3081999872</v>
      </c>
      <c r="K128">
        <v>3896000000</v>
      </c>
      <c r="L128">
        <v>2333125120</v>
      </c>
      <c r="M128">
        <v>330.51</v>
      </c>
      <c r="N128">
        <v>2.4E-2</v>
      </c>
      <c r="O128">
        <v>1.5229999999999999</v>
      </c>
      <c r="P128">
        <v>0.13633001</v>
      </c>
      <c r="Q128">
        <v>307.86500000000001</v>
      </c>
      <c r="R128">
        <v>0.97448999999999997</v>
      </c>
      <c r="S128">
        <v>2343000064</v>
      </c>
      <c r="T128">
        <v>8063000064</v>
      </c>
      <c r="U128">
        <v>5968999936</v>
      </c>
      <c r="V128">
        <v>12.603999999999999</v>
      </c>
      <c r="W128" t="s">
        <v>40</v>
      </c>
      <c r="X128">
        <v>31.945</v>
      </c>
      <c r="Y128">
        <v>1.4079999999999999</v>
      </c>
      <c r="Z128" t="s">
        <v>42</v>
      </c>
      <c r="AA128" t="s">
        <v>345</v>
      </c>
      <c r="AB128">
        <v>13.02</v>
      </c>
      <c r="AC128">
        <v>25.216000000000001</v>
      </c>
      <c r="AD128">
        <v>12.67</v>
      </c>
      <c r="AE128">
        <v>185900000</v>
      </c>
      <c r="AF128">
        <v>13.071999999999999</v>
      </c>
      <c r="AG128">
        <v>11.162000000000001</v>
      </c>
      <c r="AH128">
        <v>25.283812999999999</v>
      </c>
      <c r="AI128">
        <v>2.47E-3</v>
      </c>
      <c r="AJ128">
        <v>77716504576</v>
      </c>
      <c r="AK128">
        <v>1.4999999999999999E-2</v>
      </c>
      <c r="AL128">
        <v>2.5099999999999998</v>
      </c>
      <c r="AM128">
        <v>26.086030999999998</v>
      </c>
      <c r="AN128">
        <v>61441810432</v>
      </c>
    </row>
    <row r="129" spans="1:40" x14ac:dyDescent="0.3">
      <c r="A129" s="1">
        <v>139</v>
      </c>
      <c r="B129" t="s">
        <v>346</v>
      </c>
      <c r="C129" t="s">
        <v>182</v>
      </c>
      <c r="D129">
        <v>0.37616002999999998</v>
      </c>
      <c r="E129">
        <v>0.11852</v>
      </c>
      <c r="F129">
        <v>0.52556999999999998</v>
      </c>
      <c r="G129">
        <v>6058999808</v>
      </c>
      <c r="H129">
        <v>1.7629999999999999</v>
      </c>
      <c r="I129">
        <v>0.23569999999999999</v>
      </c>
      <c r="J129">
        <v>6721999872</v>
      </c>
      <c r="K129">
        <v>9392000000</v>
      </c>
      <c r="L129">
        <v>2933874944</v>
      </c>
      <c r="M129">
        <v>256.70999999999998</v>
      </c>
      <c r="N129">
        <v>10.419</v>
      </c>
      <c r="O129">
        <v>1.516</v>
      </c>
      <c r="P129">
        <v>9.3950000000000006E-2</v>
      </c>
      <c r="Q129">
        <v>34.308</v>
      </c>
      <c r="R129">
        <v>0.12311999999999999</v>
      </c>
      <c r="S129">
        <v>4040000000</v>
      </c>
      <c r="T129">
        <v>7834999808</v>
      </c>
      <c r="U129">
        <v>17870000128</v>
      </c>
      <c r="V129">
        <v>16.632999999999999</v>
      </c>
      <c r="W129" t="s">
        <v>40</v>
      </c>
      <c r="X129">
        <v>76.694999999999993</v>
      </c>
      <c r="Y129">
        <v>1.4059999999999999</v>
      </c>
      <c r="Z129" t="s">
        <v>42</v>
      </c>
      <c r="AA129" t="s">
        <v>347</v>
      </c>
      <c r="AB129">
        <v>3.4289999999999998</v>
      </c>
      <c r="AC129">
        <v>9.1150000000000002</v>
      </c>
      <c r="AD129">
        <v>19.95</v>
      </c>
      <c r="AE129">
        <v>244134000</v>
      </c>
      <c r="AF129">
        <v>95.006</v>
      </c>
      <c r="AG129">
        <v>6.28</v>
      </c>
      <c r="AH129">
        <v>2.7020400000000002</v>
      </c>
      <c r="AI129">
        <v>5.8500000000000002E-3</v>
      </c>
      <c r="AJ129">
        <v>61268643840</v>
      </c>
      <c r="AK129">
        <v>16.744</v>
      </c>
      <c r="AL129">
        <v>0.18</v>
      </c>
      <c r="AM129">
        <v>12.867668</v>
      </c>
      <c r="AN129">
        <v>62671638528</v>
      </c>
    </row>
    <row r="130" spans="1:40" x14ac:dyDescent="0.3">
      <c r="A130" s="1">
        <v>140</v>
      </c>
      <c r="B130" t="s">
        <v>349</v>
      </c>
      <c r="C130" t="s">
        <v>348</v>
      </c>
      <c r="D130">
        <v>0.19490999000000001</v>
      </c>
      <c r="E130">
        <v>8.2040004E-2</v>
      </c>
      <c r="F130">
        <v>0.15953999999999999</v>
      </c>
      <c r="G130">
        <v>4650999808</v>
      </c>
      <c r="H130">
        <v>0.125</v>
      </c>
      <c r="I130">
        <v>0.12059</v>
      </c>
      <c r="J130">
        <v>4469000192</v>
      </c>
      <c r="K130">
        <v>3658000000</v>
      </c>
      <c r="L130">
        <v>2097250048</v>
      </c>
      <c r="M130">
        <v>43.68</v>
      </c>
      <c r="N130">
        <v>0.621</v>
      </c>
      <c r="O130">
        <v>1.222</v>
      </c>
      <c r="P130">
        <v>4.1169999999999998E-2</v>
      </c>
      <c r="Q130">
        <v>98.188000000000002</v>
      </c>
      <c r="R130">
        <v>0.13883000000000001</v>
      </c>
      <c r="S130">
        <v>3139000064</v>
      </c>
      <c r="T130">
        <v>15009000448</v>
      </c>
      <c r="U130">
        <v>22929000448</v>
      </c>
      <c r="V130">
        <v>2.2370000000000001</v>
      </c>
      <c r="W130" t="s">
        <v>40</v>
      </c>
      <c r="X130">
        <v>16.378</v>
      </c>
      <c r="Y130">
        <v>0.81599999999999995</v>
      </c>
      <c r="Z130" t="s">
        <v>42</v>
      </c>
      <c r="AA130" t="s">
        <v>350</v>
      </c>
      <c r="AB130">
        <v>2.9319999999999999</v>
      </c>
      <c r="AC130">
        <v>15.042</v>
      </c>
      <c r="AD130">
        <v>1.63</v>
      </c>
      <c r="AE130">
        <v>1402630016</v>
      </c>
      <c r="AF130">
        <v>9.5259999999999998</v>
      </c>
      <c r="AG130">
        <v>1.1639999999999999</v>
      </c>
      <c r="AH130">
        <v>4.5853453000000002</v>
      </c>
      <c r="AI130">
        <v>1.5900000000000001E-3</v>
      </c>
      <c r="AJ130">
        <v>67220697088</v>
      </c>
      <c r="AK130">
        <v>0.60699999999999998</v>
      </c>
      <c r="AL130">
        <v>0.73</v>
      </c>
      <c r="AM130">
        <v>26.797546000000001</v>
      </c>
      <c r="AN130">
        <v>61266878464</v>
      </c>
    </row>
    <row r="131" spans="1:40" x14ac:dyDescent="0.3">
      <c r="A131" s="1">
        <v>141</v>
      </c>
      <c r="B131" t="s">
        <v>351</v>
      </c>
      <c r="C131" t="s">
        <v>113</v>
      </c>
      <c r="D131">
        <v>0.28384999999999999</v>
      </c>
      <c r="E131">
        <v>3.0050001999999999E-2</v>
      </c>
      <c r="F131">
        <v>0.37436000000000003</v>
      </c>
      <c r="G131">
        <v>4809999872</v>
      </c>
      <c r="H131">
        <v>0.107</v>
      </c>
      <c r="I131">
        <v>9.3679999999999999E-2</v>
      </c>
      <c r="J131">
        <v>3939000064</v>
      </c>
      <c r="K131">
        <v>5195000000</v>
      </c>
      <c r="L131">
        <v>3742500096</v>
      </c>
      <c r="M131">
        <v>97.45</v>
      </c>
      <c r="N131">
        <v>1.9690000000000001</v>
      </c>
      <c r="O131">
        <v>0.74</v>
      </c>
      <c r="P131">
        <v>9.7400000000000004E-3</v>
      </c>
      <c r="Q131">
        <v>43.921999999999997</v>
      </c>
      <c r="R131">
        <v>8.7399999999999995E-3</v>
      </c>
      <c r="S131">
        <v>2010000000</v>
      </c>
      <c r="T131">
        <v>20877000704</v>
      </c>
      <c r="U131">
        <v>13877000192</v>
      </c>
      <c r="V131">
        <v>3.2970000000000002</v>
      </c>
      <c r="W131" t="s">
        <v>40</v>
      </c>
      <c r="X131">
        <v>22.527999999999999</v>
      </c>
      <c r="Y131">
        <v>0.42399999999999999</v>
      </c>
      <c r="Z131" t="s">
        <v>42</v>
      </c>
      <c r="AA131" t="s">
        <v>352</v>
      </c>
      <c r="AB131">
        <v>5.444</v>
      </c>
      <c r="AC131">
        <v>19.178000000000001</v>
      </c>
      <c r="AD131">
        <v>7.39</v>
      </c>
      <c r="AE131">
        <v>608937024</v>
      </c>
      <c r="AF131">
        <v>77.347999999999999</v>
      </c>
      <c r="AG131">
        <v>0.36</v>
      </c>
      <c r="AH131">
        <v>1.2598902999999999</v>
      </c>
      <c r="AI131">
        <v>2.5400000000000002E-3</v>
      </c>
      <c r="AJ131">
        <v>75542773760</v>
      </c>
      <c r="AK131">
        <v>1.798</v>
      </c>
      <c r="AL131">
        <v>1.1599999999999999</v>
      </c>
      <c r="AM131">
        <v>13.186738999999999</v>
      </c>
      <c r="AN131">
        <v>59340910592</v>
      </c>
    </row>
    <row r="132" spans="1:40" x14ac:dyDescent="0.3">
      <c r="A132" s="1">
        <v>142</v>
      </c>
      <c r="B132" t="s">
        <v>353</v>
      </c>
      <c r="C132" t="s">
        <v>138</v>
      </c>
      <c r="D132">
        <v>0.13089999999999999</v>
      </c>
      <c r="E132">
        <v>5.4890000000000001E-2</v>
      </c>
      <c r="F132">
        <v>0.27459</v>
      </c>
      <c r="G132">
        <v>8986999808</v>
      </c>
      <c r="H132">
        <v>0.14199999999999999</v>
      </c>
      <c r="I132">
        <v>8.7379999999999999E-2</v>
      </c>
      <c r="J132">
        <v>11722000384</v>
      </c>
      <c r="K132">
        <v>23730000000</v>
      </c>
      <c r="L132">
        <v>2828124928</v>
      </c>
      <c r="M132">
        <v>226.56</v>
      </c>
      <c r="N132">
        <v>-0.14699999999999999</v>
      </c>
      <c r="O132">
        <v>1.494</v>
      </c>
      <c r="P132">
        <v>5.9130000000000002E-2</v>
      </c>
      <c r="Q132">
        <v>147.66999999999999</v>
      </c>
      <c r="R132">
        <v>0.21384001</v>
      </c>
      <c r="S132">
        <v>6832999936</v>
      </c>
      <c r="T132">
        <v>36828999680</v>
      </c>
      <c r="U132">
        <v>89552003072</v>
      </c>
      <c r="V132">
        <v>12.894</v>
      </c>
      <c r="W132" t="s">
        <v>40</v>
      </c>
      <c r="X132">
        <v>337.93200000000002</v>
      </c>
      <c r="Y132">
        <v>1.371</v>
      </c>
      <c r="Z132" t="s">
        <v>42</v>
      </c>
      <c r="AA132" t="s">
        <v>354</v>
      </c>
      <c r="AB132">
        <v>1.903</v>
      </c>
      <c r="AC132">
        <v>14.535</v>
      </c>
      <c r="AD132">
        <v>23.02</v>
      </c>
      <c r="AE132">
        <v>264968992</v>
      </c>
      <c r="AF132">
        <v>94.123999999999995</v>
      </c>
      <c r="AG132">
        <v>18.181000000000001</v>
      </c>
      <c r="AH132">
        <v>2.4070374999999999</v>
      </c>
      <c r="AI132">
        <v>7.5880000000000003E-2</v>
      </c>
      <c r="AJ132">
        <v>170382049280</v>
      </c>
      <c r="AK132">
        <v>-0.14799999999999999</v>
      </c>
      <c r="AL132">
        <v>0.73</v>
      </c>
      <c r="AM132">
        <v>9.8418759999999992</v>
      </c>
      <c r="AN132">
        <v>60031373312</v>
      </c>
    </row>
    <row r="133" spans="1:40" x14ac:dyDescent="0.3">
      <c r="A133" s="1">
        <v>143</v>
      </c>
      <c r="B133" t="s">
        <v>355</v>
      </c>
      <c r="C133" t="s">
        <v>223</v>
      </c>
      <c r="D133">
        <v>0.21348</v>
      </c>
      <c r="E133">
        <v>0.12629000000000001</v>
      </c>
      <c r="F133">
        <v>0.41472998</v>
      </c>
      <c r="G133">
        <v>3575000064</v>
      </c>
      <c r="H133">
        <v>8.5000000000000006E-2</v>
      </c>
      <c r="I133">
        <v>0.16966000000000001</v>
      </c>
      <c r="J133">
        <v>3892999936</v>
      </c>
      <c r="K133">
        <v>7563000000</v>
      </c>
      <c r="L133">
        <v>2596999936</v>
      </c>
      <c r="M133">
        <v>98.51</v>
      </c>
      <c r="N133">
        <v>-7.6999999999999999E-2</v>
      </c>
      <c r="O133">
        <v>1.35</v>
      </c>
      <c r="P133">
        <v>8.1259999999999999E-2</v>
      </c>
      <c r="Q133">
        <v>72.891000000000005</v>
      </c>
      <c r="R133">
        <v>0.25335000000000002</v>
      </c>
      <c r="S133">
        <v>2353999872</v>
      </c>
      <c r="T133">
        <v>7232999936</v>
      </c>
      <c r="U133">
        <v>18236000256</v>
      </c>
      <c r="V133">
        <v>3.9569999999999999</v>
      </c>
      <c r="W133" t="s">
        <v>40</v>
      </c>
      <c r="X133">
        <v>30.49</v>
      </c>
      <c r="Y133">
        <v>0.93700000000000006</v>
      </c>
      <c r="Z133" t="s">
        <v>42</v>
      </c>
      <c r="AA133" t="s">
        <v>356</v>
      </c>
      <c r="AB133">
        <v>3.3959999999999999</v>
      </c>
      <c r="AC133">
        <v>15.907999999999999</v>
      </c>
      <c r="AD133">
        <v>5.34</v>
      </c>
      <c r="AE133">
        <v>595699008</v>
      </c>
      <c r="AF133">
        <v>16.588000000000001</v>
      </c>
      <c r="AG133">
        <v>3.82</v>
      </c>
      <c r="AH133">
        <v>5.9386305999999998</v>
      </c>
      <c r="AI133">
        <v>7.5499996999999998E-3</v>
      </c>
      <c r="AJ133">
        <v>61928267776</v>
      </c>
      <c r="AK133">
        <v>-7.2999999999999995E-2</v>
      </c>
      <c r="AL133">
        <v>1.83</v>
      </c>
      <c r="AM133">
        <v>18.447565000000001</v>
      </c>
      <c r="AN133">
        <v>58682310656</v>
      </c>
    </row>
    <row r="134" spans="1:40" x14ac:dyDescent="0.3">
      <c r="A134" s="1">
        <v>144</v>
      </c>
      <c r="B134" t="s">
        <v>358</v>
      </c>
      <c r="C134" t="s">
        <v>357</v>
      </c>
      <c r="D134">
        <v>0.11817</v>
      </c>
      <c r="E134">
        <v>7.8210000000000002E-2</v>
      </c>
      <c r="F134">
        <v>0.28011999999999998</v>
      </c>
      <c r="G134">
        <v>12408999936</v>
      </c>
      <c r="H134">
        <v>5.6000000000000001E-2</v>
      </c>
      <c r="I134">
        <v>0.112320006</v>
      </c>
      <c r="J134">
        <v>8320000000</v>
      </c>
      <c r="K134">
        <v>20077000000</v>
      </c>
      <c r="L134">
        <v>6153750016</v>
      </c>
      <c r="M134">
        <v>71.290000000000006</v>
      </c>
      <c r="N134">
        <v>1.5649999999999999</v>
      </c>
      <c r="O134">
        <v>0.96899999999999997</v>
      </c>
      <c r="P134">
        <v>6.4099999999999999E-3</v>
      </c>
      <c r="Q134">
        <v>157.91499999999999</v>
      </c>
      <c r="R134">
        <v>7.7280000000000001E-2</v>
      </c>
      <c r="S134">
        <v>32913000448</v>
      </c>
      <c r="T134">
        <v>109486997504</v>
      </c>
      <c r="U134">
        <v>70409003008</v>
      </c>
      <c r="V134">
        <v>39.128</v>
      </c>
      <c r="W134" t="s">
        <v>40</v>
      </c>
      <c r="X134">
        <v>80.17</v>
      </c>
      <c r="Y134">
        <v>0.74299999999999999</v>
      </c>
      <c r="Z134" t="s">
        <v>42</v>
      </c>
      <c r="AA134" t="s">
        <v>359</v>
      </c>
      <c r="AB134">
        <v>1.867</v>
      </c>
      <c r="AC134">
        <v>15.803000000000001</v>
      </c>
      <c r="AD134">
        <v>7.2</v>
      </c>
      <c r="AE134">
        <v>841160000</v>
      </c>
      <c r="AF134">
        <v>81.760999999999996</v>
      </c>
      <c r="AG134">
        <v>5.992</v>
      </c>
      <c r="AH134">
        <v>0.87193160000000003</v>
      </c>
      <c r="AI134">
        <v>0.15557000000000001</v>
      </c>
      <c r="AJ134">
        <v>131481944064</v>
      </c>
      <c r="AK134">
        <v>1.244</v>
      </c>
      <c r="AL134">
        <v>0.92</v>
      </c>
      <c r="AM134">
        <v>9.901389</v>
      </c>
      <c r="AN134">
        <v>59966296064</v>
      </c>
    </row>
    <row r="135" spans="1:40" x14ac:dyDescent="0.3">
      <c r="A135" s="1">
        <v>145</v>
      </c>
      <c r="B135" t="s">
        <v>361</v>
      </c>
      <c r="C135" t="s">
        <v>360</v>
      </c>
      <c r="D135">
        <v>0.57979999999999998</v>
      </c>
      <c r="E135">
        <v>0.16379999000000001</v>
      </c>
      <c r="F135">
        <v>0.76954999999999996</v>
      </c>
      <c r="G135">
        <v>761000000</v>
      </c>
      <c r="H135">
        <v>1.1419999999999999</v>
      </c>
      <c r="I135">
        <v>0.48438999999999999</v>
      </c>
      <c r="J135">
        <v>1652999936</v>
      </c>
      <c r="K135">
        <v>1442000000</v>
      </c>
      <c r="L135">
        <v>1404249984</v>
      </c>
      <c r="M135">
        <v>171.52</v>
      </c>
      <c r="N135">
        <v>1.1839999999999999</v>
      </c>
      <c r="O135">
        <v>0.497</v>
      </c>
      <c r="P135">
        <v>3.4770000000000002E-2</v>
      </c>
      <c r="Q135">
        <v>1163.943</v>
      </c>
      <c r="R135">
        <v>0.81430000000000002</v>
      </c>
      <c r="S135">
        <v>772000000</v>
      </c>
      <c r="T135">
        <v>10684999680</v>
      </c>
      <c r="U135">
        <v>2851000064</v>
      </c>
      <c r="V135">
        <v>2.37</v>
      </c>
      <c r="W135" t="s">
        <v>40</v>
      </c>
      <c r="X135">
        <v>8.7249999999999996</v>
      </c>
      <c r="Y135">
        <v>0.46800000000000003</v>
      </c>
      <c r="Z135" t="s">
        <v>42</v>
      </c>
      <c r="AA135" t="s">
        <v>362</v>
      </c>
      <c r="AB135">
        <v>22.67</v>
      </c>
      <c r="AC135">
        <v>39.098999999999997</v>
      </c>
      <c r="AD135">
        <v>5.32</v>
      </c>
      <c r="AE135">
        <v>325683008</v>
      </c>
      <c r="AF135">
        <v>2.819</v>
      </c>
      <c r="AG135">
        <v>1.4279999999999999</v>
      </c>
      <c r="AH135">
        <v>60.844273000000001</v>
      </c>
      <c r="AI135">
        <v>0.16378000000000001</v>
      </c>
      <c r="AJ135">
        <v>64631017472</v>
      </c>
      <c r="AK135">
        <v>1.2</v>
      </c>
      <c r="AL135">
        <v>0.25</v>
      </c>
      <c r="AM135">
        <v>32.240600000000001</v>
      </c>
      <c r="AN135">
        <v>55861149696</v>
      </c>
    </row>
    <row r="136" spans="1:40" x14ac:dyDescent="0.3">
      <c r="A136" s="1">
        <v>147</v>
      </c>
      <c r="B136" t="s">
        <v>363</v>
      </c>
      <c r="C136" t="s">
        <v>62</v>
      </c>
      <c r="D136">
        <v>5.1069996999999999E-2</v>
      </c>
      <c r="E136">
        <v>3.252E-2</v>
      </c>
      <c r="F136">
        <v>0.17308001000000001</v>
      </c>
      <c r="G136">
        <v>2640999936</v>
      </c>
      <c r="H136">
        <v>8.6999999999999994E-2</v>
      </c>
      <c r="I136">
        <v>4.7080003000000002E-2</v>
      </c>
      <c r="J136">
        <v>4198000128</v>
      </c>
      <c r="K136">
        <v>15527000000</v>
      </c>
      <c r="L136">
        <v>408875008</v>
      </c>
      <c r="M136">
        <v>435.54</v>
      </c>
      <c r="N136">
        <v>0.17799999999999999</v>
      </c>
      <c r="O136">
        <v>1.718</v>
      </c>
      <c r="P136">
        <v>5.7729996999999998E-2</v>
      </c>
      <c r="Q136">
        <v>76.778000000000006</v>
      </c>
      <c r="R136">
        <v>0.1668</v>
      </c>
      <c r="S136">
        <v>18023000064</v>
      </c>
      <c r="T136">
        <v>12501000192</v>
      </c>
      <c r="U136">
        <v>82201001984</v>
      </c>
      <c r="V136">
        <v>140.21899999999999</v>
      </c>
      <c r="W136" t="s">
        <v>40</v>
      </c>
      <c r="X136">
        <v>634.46799999999996</v>
      </c>
      <c r="Y136">
        <v>1.3240000000000001</v>
      </c>
      <c r="Z136" t="s">
        <v>42</v>
      </c>
      <c r="AA136" t="s">
        <v>364</v>
      </c>
      <c r="AB136">
        <v>0.65100000000000002</v>
      </c>
      <c r="AC136">
        <v>12.743</v>
      </c>
      <c r="AD136">
        <v>24</v>
      </c>
      <c r="AE136">
        <v>128534000</v>
      </c>
      <c r="AF136">
        <v>126.503</v>
      </c>
      <c r="AG136">
        <v>20.509</v>
      </c>
      <c r="AH136">
        <v>3.4429224</v>
      </c>
      <c r="AI136">
        <v>2.3600000000000001E-3</v>
      </c>
      <c r="AJ136">
        <v>53495955456</v>
      </c>
      <c r="AK136">
        <v>0.14299999999999999</v>
      </c>
      <c r="AL136">
        <v>1.72</v>
      </c>
      <c r="AM136">
        <v>18.147500999999998</v>
      </c>
      <c r="AN136">
        <v>55981699072</v>
      </c>
    </row>
    <row r="137" spans="1:40" x14ac:dyDescent="0.3">
      <c r="A137" s="1">
        <v>148</v>
      </c>
      <c r="B137" t="s">
        <v>365</v>
      </c>
      <c r="C137" t="s">
        <v>197</v>
      </c>
      <c r="D137">
        <v>0.41709997999999998</v>
      </c>
      <c r="E137">
        <v>0.36523998000000002</v>
      </c>
      <c r="F137">
        <v>0.60272999999999999</v>
      </c>
      <c r="G137">
        <v>2536652032</v>
      </c>
      <c r="H137">
        <v>0.35399999999999998</v>
      </c>
      <c r="I137">
        <v>0.37232999999999999</v>
      </c>
      <c r="J137">
        <v>3113244928</v>
      </c>
      <c r="K137">
        <v>4146569000</v>
      </c>
      <c r="L137">
        <v>1780884736</v>
      </c>
      <c r="M137">
        <v>366.44</v>
      </c>
      <c r="N137">
        <v>1.587</v>
      </c>
      <c r="O137">
        <v>2.4350000000000001</v>
      </c>
      <c r="P137">
        <v>0.16972999999999999</v>
      </c>
      <c r="Q137">
        <v>91.792000000000002</v>
      </c>
      <c r="R137">
        <v>0.82329005</v>
      </c>
      <c r="S137">
        <v>2624813056</v>
      </c>
      <c r="T137">
        <v>3542321920</v>
      </c>
      <c r="U137">
        <v>7463951872</v>
      </c>
      <c r="V137">
        <v>17.312000000000001</v>
      </c>
      <c r="W137" t="s">
        <v>40</v>
      </c>
      <c r="X137">
        <v>48.673000000000002</v>
      </c>
      <c r="Y137">
        <v>1.6579999999999999</v>
      </c>
      <c r="Z137" t="s">
        <v>42</v>
      </c>
      <c r="AA137" t="s">
        <v>366</v>
      </c>
      <c r="AB137">
        <v>8.8829999999999991</v>
      </c>
      <c r="AC137">
        <v>21.295999999999999</v>
      </c>
      <c r="AD137">
        <v>21.24</v>
      </c>
      <c r="AE137">
        <v>151622000</v>
      </c>
      <c r="AF137">
        <v>25.443000000000001</v>
      </c>
      <c r="AG137">
        <v>17.617999999999999</v>
      </c>
      <c r="AH137">
        <v>14.40239</v>
      </c>
      <c r="AI137">
        <v>1.4300001000000001E-3</v>
      </c>
      <c r="AJ137">
        <v>66301206528</v>
      </c>
      <c r="AK137">
        <v>1.54</v>
      </c>
      <c r="AL137">
        <v>1.04</v>
      </c>
      <c r="AM137">
        <v>17.252354</v>
      </c>
      <c r="AN137">
        <v>55560364032</v>
      </c>
    </row>
    <row r="138" spans="1:40" x14ac:dyDescent="0.3">
      <c r="A138" s="1">
        <v>149</v>
      </c>
      <c r="B138" t="s">
        <v>367</v>
      </c>
      <c r="C138" t="s">
        <v>44</v>
      </c>
      <c r="D138">
        <v>0.21623999999999999</v>
      </c>
      <c r="E138">
        <v>0.17735000000000001</v>
      </c>
      <c r="F138">
        <v>0.76917000000000002</v>
      </c>
      <c r="G138">
        <v>1429400064</v>
      </c>
      <c r="H138">
        <v>0.33200000000000002</v>
      </c>
      <c r="I138">
        <v>0.192</v>
      </c>
      <c r="J138">
        <v>676099968</v>
      </c>
      <c r="K138">
        <v>2024400000</v>
      </c>
      <c r="L138">
        <v>1050387520</v>
      </c>
      <c r="M138">
        <v>332.73</v>
      </c>
      <c r="N138">
        <v>0.29299999999999998</v>
      </c>
      <c r="O138">
        <v>1.8029999999999999</v>
      </c>
      <c r="P138">
        <v>7.8520000000000006E-2</v>
      </c>
      <c r="Q138">
        <v>94.32</v>
      </c>
      <c r="R138">
        <v>0.59995997000000001</v>
      </c>
      <c r="S138">
        <v>3120999936</v>
      </c>
      <c r="T138">
        <v>1071100032</v>
      </c>
      <c r="U138">
        <v>3126599936</v>
      </c>
      <c r="V138">
        <v>19.088999999999999</v>
      </c>
      <c r="W138" t="s">
        <v>40</v>
      </c>
      <c r="X138">
        <v>19.172999999999998</v>
      </c>
      <c r="Y138">
        <v>1.696</v>
      </c>
      <c r="Z138" t="s">
        <v>42</v>
      </c>
      <c r="AA138" t="s">
        <v>368</v>
      </c>
      <c r="AB138">
        <v>16.196000000000002</v>
      </c>
      <c r="AC138">
        <v>74.896000000000001</v>
      </c>
      <c r="AD138">
        <v>4.6100000000000003</v>
      </c>
      <c r="AE138">
        <v>163500000</v>
      </c>
      <c r="AF138">
        <v>6.843</v>
      </c>
      <c r="AG138">
        <v>3.3220000000000001</v>
      </c>
      <c r="AH138">
        <v>48.623412999999999</v>
      </c>
      <c r="AI138">
        <v>0.18180999</v>
      </c>
      <c r="AJ138">
        <v>50637422592</v>
      </c>
      <c r="AK138">
        <v>0.32200000000000001</v>
      </c>
      <c r="AL138">
        <v>4.9000000000000004</v>
      </c>
      <c r="AM138">
        <v>72.175704999999994</v>
      </c>
      <c r="AN138">
        <v>54401355776</v>
      </c>
    </row>
    <row r="139" spans="1:40" x14ac:dyDescent="0.3">
      <c r="A139" s="1">
        <v>150</v>
      </c>
      <c r="B139" t="s">
        <v>369</v>
      </c>
      <c r="C139" t="s">
        <v>182</v>
      </c>
      <c r="D139">
        <v>0.46367999999999998</v>
      </c>
      <c r="E139">
        <v>-1.4730001E-2</v>
      </c>
      <c r="F139">
        <v>0.59626997000000004</v>
      </c>
      <c r="G139">
        <v>8746000384</v>
      </c>
      <c r="H139">
        <v>0.65300000000000002</v>
      </c>
      <c r="I139">
        <v>8.1070006E-2</v>
      </c>
      <c r="J139">
        <v>10295000064</v>
      </c>
      <c r="K139">
        <v>9341000000</v>
      </c>
      <c r="L139">
        <v>8693125120</v>
      </c>
      <c r="M139">
        <v>58.71</v>
      </c>
      <c r="O139">
        <v>1.085</v>
      </c>
      <c r="P139">
        <v>1.4049999000000001E-2</v>
      </c>
      <c r="Q139">
        <v>176.321</v>
      </c>
      <c r="R139">
        <v>4.13E-3</v>
      </c>
      <c r="S139">
        <v>2059000064</v>
      </c>
      <c r="T139">
        <v>33276999680</v>
      </c>
      <c r="U139">
        <v>22203000832</v>
      </c>
      <c r="V139">
        <v>2.2050000000000001</v>
      </c>
      <c r="W139" t="s">
        <v>40</v>
      </c>
      <c r="X139">
        <v>23.77</v>
      </c>
      <c r="Y139">
        <v>0.60699999999999998</v>
      </c>
      <c r="Z139" t="s">
        <v>42</v>
      </c>
      <c r="AA139" t="s">
        <v>370</v>
      </c>
      <c r="AB139">
        <v>3.25</v>
      </c>
      <c r="AC139">
        <v>7.0090000000000003</v>
      </c>
      <c r="AD139">
        <v>2.9</v>
      </c>
      <c r="AE139">
        <v>933980992</v>
      </c>
      <c r="AF139">
        <v>9.7550000000000008</v>
      </c>
      <c r="AG139">
        <v>-1.212</v>
      </c>
      <c r="AH139">
        <v>6.0184517</v>
      </c>
      <c r="AI139">
        <v>2.0999999999999999E-3</v>
      </c>
      <c r="AJ139">
        <v>72156282880</v>
      </c>
      <c r="AL139">
        <v>0.42</v>
      </c>
      <c r="AM139">
        <v>20.244827000000001</v>
      </c>
      <c r="AN139">
        <v>54834024448</v>
      </c>
    </row>
    <row r="140" spans="1:40" x14ac:dyDescent="0.3">
      <c r="A140" s="1">
        <v>151</v>
      </c>
      <c r="B140" t="s">
        <v>371</v>
      </c>
      <c r="C140" t="s">
        <v>108</v>
      </c>
      <c r="D140">
        <v>0.21448</v>
      </c>
      <c r="E140">
        <v>0.21192</v>
      </c>
      <c r="F140">
        <v>0.70209999999999995</v>
      </c>
      <c r="G140">
        <v>669000000</v>
      </c>
      <c r="H140">
        <v>0.39500000000000002</v>
      </c>
      <c r="I140">
        <v>0.16495001000000001</v>
      </c>
      <c r="J140">
        <v>918000000</v>
      </c>
      <c r="K140">
        <v>2231000000</v>
      </c>
      <c r="L140">
        <v>1485250048</v>
      </c>
      <c r="M140">
        <v>341.72</v>
      </c>
      <c r="N140">
        <v>0.71899999999999997</v>
      </c>
      <c r="O140">
        <v>2.6819999999999999</v>
      </c>
      <c r="P140">
        <v>3.9280000000000002E-2</v>
      </c>
      <c r="Q140">
        <v>23.95</v>
      </c>
      <c r="R140">
        <v>0.11862001</v>
      </c>
      <c r="S140">
        <v>1264999936</v>
      </c>
      <c r="T140">
        <v>2536999936</v>
      </c>
      <c r="U140">
        <v>4280000000</v>
      </c>
      <c r="V140">
        <v>8.093</v>
      </c>
      <c r="W140" t="s">
        <v>40</v>
      </c>
      <c r="X140">
        <v>28.968</v>
      </c>
      <c r="Y140">
        <v>2.0449999999999999</v>
      </c>
      <c r="Z140" t="s">
        <v>42</v>
      </c>
      <c r="AA140" t="s">
        <v>372</v>
      </c>
      <c r="AB140">
        <v>13.895</v>
      </c>
      <c r="AC140">
        <v>64.784000000000006</v>
      </c>
      <c r="AD140">
        <v>4.03</v>
      </c>
      <c r="AE140">
        <v>156300000</v>
      </c>
      <c r="AF140">
        <v>67.471000000000004</v>
      </c>
      <c r="AG140">
        <v>6.109</v>
      </c>
      <c r="AH140">
        <v>5.0646943999999996</v>
      </c>
      <c r="AI140">
        <v>3.29E-3</v>
      </c>
      <c r="AJ140">
        <v>59471867904</v>
      </c>
      <c r="AK140">
        <v>0.77100000000000002</v>
      </c>
      <c r="AL140">
        <v>12.09</v>
      </c>
      <c r="AM140">
        <v>84.794039999999995</v>
      </c>
      <c r="AN140">
        <v>53410836480</v>
      </c>
    </row>
    <row r="141" spans="1:40" x14ac:dyDescent="0.3">
      <c r="A141" s="1">
        <v>152</v>
      </c>
      <c r="B141" t="s">
        <v>373</v>
      </c>
      <c r="C141" t="s">
        <v>158</v>
      </c>
      <c r="D141">
        <v>0.35606998000000001</v>
      </c>
      <c r="E141">
        <v>0.20333999999999999</v>
      </c>
      <c r="F141">
        <v>0.30386999999999997</v>
      </c>
      <c r="G141">
        <v>3341900032</v>
      </c>
      <c r="H141">
        <v>0.22500000000000001</v>
      </c>
      <c r="I141">
        <v>0.22806999</v>
      </c>
      <c r="J141">
        <v>3675699968</v>
      </c>
      <c r="K141">
        <v>3136900000</v>
      </c>
      <c r="L141">
        <v>397775008</v>
      </c>
      <c r="M141">
        <v>246.56</v>
      </c>
      <c r="N141">
        <v>0.254</v>
      </c>
      <c r="O141">
        <v>2.992</v>
      </c>
      <c r="P141">
        <v>5.6570000000000002E-2</v>
      </c>
      <c r="Q141">
        <v>58.573999999999998</v>
      </c>
      <c r="R141">
        <v>0.15412999999999999</v>
      </c>
      <c r="S141">
        <v>5816800256</v>
      </c>
      <c r="T141">
        <v>8251899904</v>
      </c>
      <c r="U141">
        <v>10323000320</v>
      </c>
      <c r="V141">
        <v>26.265999999999998</v>
      </c>
      <c r="W141" t="s">
        <v>40</v>
      </c>
      <c r="X141">
        <v>46.584000000000003</v>
      </c>
      <c r="Y141">
        <v>2.669</v>
      </c>
      <c r="Z141" t="s">
        <v>42</v>
      </c>
      <c r="AA141" t="s">
        <v>374</v>
      </c>
      <c r="AB141">
        <v>6.7119999999999997</v>
      </c>
      <c r="AC141">
        <v>18.852</v>
      </c>
      <c r="AD141">
        <v>11.75</v>
      </c>
      <c r="AE141">
        <v>221684000</v>
      </c>
      <c r="AF141">
        <v>61.155999999999999</v>
      </c>
      <c r="AG141">
        <v>9.4359999999999999</v>
      </c>
      <c r="AH141">
        <v>4.0316567000000001</v>
      </c>
      <c r="AI141">
        <v>3.1299998999999999E-3</v>
      </c>
      <c r="AJ141">
        <v>69293064192</v>
      </c>
      <c r="AK141">
        <v>0.254</v>
      </c>
      <c r="AL141">
        <v>2.2200000000000002</v>
      </c>
      <c r="AM141">
        <v>20.983830000000001</v>
      </c>
      <c r="AN141">
        <v>54658408448</v>
      </c>
    </row>
    <row r="142" spans="1:40" x14ac:dyDescent="0.3">
      <c r="A142" s="1">
        <v>153</v>
      </c>
      <c r="B142" t="s">
        <v>376</v>
      </c>
      <c r="C142" t="s">
        <v>375</v>
      </c>
      <c r="D142">
        <v>0.26134002000000001</v>
      </c>
      <c r="E142">
        <v>0.11803999499999999</v>
      </c>
      <c r="F142">
        <v>0.34179002000000003</v>
      </c>
      <c r="G142">
        <v>6192999936</v>
      </c>
      <c r="H142">
        <v>0.30199999999999999</v>
      </c>
      <c r="I142">
        <v>0.16658000000000001</v>
      </c>
      <c r="J142">
        <v>12373999616</v>
      </c>
      <c r="K142">
        <v>10698000000</v>
      </c>
      <c r="L142">
        <v>10079625216</v>
      </c>
      <c r="M142">
        <v>64.48</v>
      </c>
      <c r="N142">
        <v>5.0810000000000004</v>
      </c>
      <c r="O142">
        <v>0.74299999999999999</v>
      </c>
      <c r="P142">
        <v>8.4100000000000008E-3</v>
      </c>
      <c r="Q142">
        <v>48.051000000000002</v>
      </c>
      <c r="R142">
        <v>8.906E-2</v>
      </c>
      <c r="S142">
        <v>16392999936</v>
      </c>
      <c r="T142">
        <v>31549999104</v>
      </c>
      <c r="U142">
        <v>47347998720</v>
      </c>
      <c r="V142">
        <v>19.744</v>
      </c>
      <c r="W142" t="s">
        <v>40</v>
      </c>
      <c r="X142">
        <v>54.865000000000002</v>
      </c>
      <c r="Y142">
        <v>0.19800000000000001</v>
      </c>
      <c r="Z142" t="s">
        <v>42</v>
      </c>
      <c r="AA142" t="s">
        <v>377</v>
      </c>
      <c r="AB142">
        <v>1.3819999999999999</v>
      </c>
      <c r="AC142">
        <v>5.2869999999999999</v>
      </c>
      <c r="AD142">
        <v>5.36</v>
      </c>
      <c r="AE142">
        <v>830297984</v>
      </c>
      <c r="AF142">
        <v>77.025999999999996</v>
      </c>
      <c r="AG142">
        <v>6.3769999999999998</v>
      </c>
      <c r="AH142">
        <v>0.83711994000000001</v>
      </c>
      <c r="AI142">
        <v>8.6000002999999997E-4</v>
      </c>
      <c r="AJ142">
        <v>65425559552</v>
      </c>
      <c r="AK142">
        <v>4.7880000000000003</v>
      </c>
      <c r="AL142">
        <v>0.41</v>
      </c>
      <c r="AM142">
        <v>12.029851000000001</v>
      </c>
      <c r="AN142">
        <v>53537615872</v>
      </c>
    </row>
    <row r="143" spans="1:40" x14ac:dyDescent="0.3">
      <c r="A143" s="1">
        <v>154</v>
      </c>
      <c r="B143" t="s">
        <v>379</v>
      </c>
      <c r="C143" t="s">
        <v>378</v>
      </c>
      <c r="D143">
        <v>4.6719997999999999E-2</v>
      </c>
      <c r="E143">
        <v>3.2620000000000003E-2</v>
      </c>
      <c r="F143">
        <v>7.0989996E-2</v>
      </c>
      <c r="G143">
        <v>4983000064</v>
      </c>
      <c r="H143">
        <v>0.34499999999999997</v>
      </c>
      <c r="I143">
        <v>3.4389999999999997E-2</v>
      </c>
      <c r="J143">
        <v>3744000000</v>
      </c>
      <c r="K143">
        <v>4453000000</v>
      </c>
      <c r="L143">
        <v>-619124992</v>
      </c>
      <c r="M143">
        <v>93.49</v>
      </c>
      <c r="N143">
        <v>1.325</v>
      </c>
      <c r="O143">
        <v>1.577</v>
      </c>
      <c r="P143">
        <v>3.5479999999999998E-2</v>
      </c>
      <c r="Q143">
        <v>44.843000000000004</v>
      </c>
      <c r="R143">
        <v>0.12636</v>
      </c>
      <c r="S143">
        <v>1140999936</v>
      </c>
      <c r="T143">
        <v>9962000384</v>
      </c>
      <c r="U143">
        <v>80137003008</v>
      </c>
      <c r="V143">
        <v>2.04</v>
      </c>
      <c r="W143" t="s">
        <v>40</v>
      </c>
      <c r="X143">
        <v>142.27600000000001</v>
      </c>
      <c r="Y143">
        <v>0.38200000000000001</v>
      </c>
      <c r="Z143" t="s">
        <v>42</v>
      </c>
      <c r="AA143" t="s">
        <v>380</v>
      </c>
      <c r="AB143">
        <v>0.60799999999999998</v>
      </c>
      <c r="AC143">
        <v>13.016</v>
      </c>
      <c r="AD143">
        <v>4.78</v>
      </c>
      <c r="AE143">
        <v>559441024</v>
      </c>
      <c r="AF143">
        <v>39.301000000000002</v>
      </c>
      <c r="AG143">
        <v>4.63</v>
      </c>
      <c r="AH143">
        <v>2.3788200000000002</v>
      </c>
      <c r="AI143">
        <v>4.5399999999999998E-3</v>
      </c>
      <c r="AJ143">
        <v>48731385856</v>
      </c>
      <c r="AK143">
        <v>1.3380000000000001</v>
      </c>
      <c r="AL143">
        <v>1.41</v>
      </c>
      <c r="AM143">
        <v>19.558577</v>
      </c>
      <c r="AN143">
        <v>52302139392</v>
      </c>
    </row>
    <row r="144" spans="1:40" x14ac:dyDescent="0.3">
      <c r="A144" s="1">
        <v>155</v>
      </c>
      <c r="B144" t="s">
        <v>382</v>
      </c>
      <c r="C144" t="s">
        <v>381</v>
      </c>
      <c r="D144">
        <v>0.35710999999999998</v>
      </c>
      <c r="E144">
        <v>9.5449999999999993E-2</v>
      </c>
      <c r="F144">
        <v>0.36679</v>
      </c>
      <c r="G144">
        <v>3943000064</v>
      </c>
      <c r="H144">
        <v>0.14000000000000001</v>
      </c>
      <c r="I144">
        <v>0.21010999999999999</v>
      </c>
      <c r="J144">
        <v>4351000064</v>
      </c>
      <c r="K144">
        <v>4499000000</v>
      </c>
      <c r="L144">
        <v>-115000000</v>
      </c>
      <c r="M144">
        <v>162.46</v>
      </c>
      <c r="O144">
        <v>0.35499999999999998</v>
      </c>
      <c r="P144">
        <v>2.3239998000000001E-2</v>
      </c>
      <c r="Q144">
        <v>107.974</v>
      </c>
      <c r="R144">
        <v>4.7800000000000002E-2</v>
      </c>
      <c r="S144">
        <v>873000000</v>
      </c>
      <c r="T144">
        <v>26566000640</v>
      </c>
      <c r="U144">
        <v>12184000512</v>
      </c>
      <c r="V144">
        <v>2.734</v>
      </c>
      <c r="W144" t="s">
        <v>40</v>
      </c>
      <c r="X144">
        <v>40.045000000000002</v>
      </c>
      <c r="Y144">
        <v>0.223</v>
      </c>
      <c r="Z144" t="s">
        <v>42</v>
      </c>
      <c r="AA144" t="s">
        <v>383</v>
      </c>
      <c r="AB144">
        <v>5.7080000000000002</v>
      </c>
      <c r="AC144">
        <v>15.983000000000001</v>
      </c>
      <c r="AD144">
        <v>8.4600000000000009</v>
      </c>
      <c r="AE144">
        <v>319336992</v>
      </c>
      <c r="AF144">
        <v>74.185000000000002</v>
      </c>
      <c r="AG144">
        <v>3.4860000000000002</v>
      </c>
      <c r="AH144">
        <v>2.1899307000000001</v>
      </c>
      <c r="AI144">
        <v>5.1000000000000004E-4</v>
      </c>
      <c r="AJ144">
        <v>69541371904</v>
      </c>
      <c r="AL144">
        <v>3.65</v>
      </c>
      <c r="AM144">
        <v>19.203309999999998</v>
      </c>
      <c r="AN144">
        <v>51879489536</v>
      </c>
    </row>
    <row r="145" spans="1:40" x14ac:dyDescent="0.3">
      <c r="A145" s="1">
        <v>156</v>
      </c>
      <c r="B145" t="s">
        <v>384</v>
      </c>
      <c r="C145" t="s">
        <v>71</v>
      </c>
      <c r="D145">
        <v>0.11545999</v>
      </c>
      <c r="E145">
        <v>7.1929999999999994E-2</v>
      </c>
      <c r="F145">
        <v>0.31925999999999999</v>
      </c>
      <c r="G145">
        <v>2719334912</v>
      </c>
      <c r="H145">
        <v>3.9E-2</v>
      </c>
      <c r="I145">
        <v>9.7070000000000004E-2</v>
      </c>
      <c r="J145">
        <v>3923645952</v>
      </c>
      <c r="K145">
        <v>10718862000</v>
      </c>
      <c r="L145">
        <v>936210240</v>
      </c>
      <c r="M145">
        <v>221.47</v>
      </c>
      <c r="N145">
        <v>-0.1</v>
      </c>
      <c r="O145">
        <v>1.077</v>
      </c>
      <c r="P145">
        <v>7.918E-2</v>
      </c>
      <c r="Q145">
        <v>227.684</v>
      </c>
      <c r="R145">
        <v>0.37108000000000002</v>
      </c>
      <c r="S145">
        <v>488662016</v>
      </c>
      <c r="T145">
        <v>14093185024</v>
      </c>
      <c r="U145">
        <v>33983524864</v>
      </c>
      <c r="V145">
        <v>2.109</v>
      </c>
      <c r="W145" t="s">
        <v>40</v>
      </c>
      <c r="X145">
        <v>143.17099999999999</v>
      </c>
      <c r="Y145">
        <v>0.106</v>
      </c>
      <c r="Z145" t="s">
        <v>42</v>
      </c>
      <c r="AA145" t="s">
        <v>385</v>
      </c>
      <c r="AB145">
        <v>1.921</v>
      </c>
      <c r="AC145">
        <v>16.64</v>
      </c>
      <c r="AD145">
        <v>11.25</v>
      </c>
      <c r="AE145">
        <v>231706000</v>
      </c>
      <c r="AF145">
        <v>26.713999999999999</v>
      </c>
      <c r="AG145">
        <v>10.231</v>
      </c>
      <c r="AH145">
        <v>8.2904090000000004</v>
      </c>
      <c r="AI145">
        <v>2.2300000000000002E-3</v>
      </c>
      <c r="AJ145">
        <v>65288974336</v>
      </c>
      <c r="AK145">
        <v>-0.152</v>
      </c>
      <c r="AL145">
        <v>3.47</v>
      </c>
      <c r="AM145">
        <v>19.686222000000001</v>
      </c>
      <c r="AN145">
        <v>51315929088</v>
      </c>
    </row>
    <row r="146" spans="1:40" x14ac:dyDescent="0.3">
      <c r="A146" s="1">
        <v>157</v>
      </c>
      <c r="B146" t="s">
        <v>386</v>
      </c>
      <c r="C146" t="s">
        <v>158</v>
      </c>
      <c r="D146">
        <v>0.21761999000000001</v>
      </c>
      <c r="E146">
        <v>9.0819999999999998E-2</v>
      </c>
      <c r="F146">
        <v>0.41496</v>
      </c>
      <c r="G146">
        <v>2070800000</v>
      </c>
      <c r="H146">
        <v>0.1</v>
      </c>
      <c r="I146">
        <v>0.15046999999999999</v>
      </c>
      <c r="J146">
        <v>2705900032</v>
      </c>
      <c r="K146">
        <v>4932600000</v>
      </c>
      <c r="L146">
        <v>1310300032</v>
      </c>
      <c r="M146">
        <v>177.59</v>
      </c>
      <c r="N146">
        <v>0.318</v>
      </c>
      <c r="O146">
        <v>1.7230000000000001</v>
      </c>
      <c r="P146">
        <v>6.4920000000000005E-2</v>
      </c>
      <c r="Q146">
        <v>90.912999999999997</v>
      </c>
      <c r="R146">
        <v>0.17579001</v>
      </c>
      <c r="S146">
        <v>897900032</v>
      </c>
      <c r="T146">
        <v>6329200128</v>
      </c>
      <c r="U146">
        <v>12433800192</v>
      </c>
      <c r="V146">
        <v>3.133</v>
      </c>
      <c r="W146" t="s">
        <v>40</v>
      </c>
      <c r="X146">
        <v>43.481999999999999</v>
      </c>
      <c r="Y146">
        <v>1.1879999999999999</v>
      </c>
      <c r="Z146" t="s">
        <v>42</v>
      </c>
      <c r="AA146" t="s">
        <v>387</v>
      </c>
      <c r="AB146">
        <v>5.8140000000000001</v>
      </c>
      <c r="AC146">
        <v>26.718</v>
      </c>
      <c r="AD146">
        <v>5.97</v>
      </c>
      <c r="AE146">
        <v>286567008</v>
      </c>
      <c r="AF146">
        <v>24.195</v>
      </c>
      <c r="AG146">
        <v>3.911</v>
      </c>
      <c r="AH146">
        <v>7.3399463000000003</v>
      </c>
      <c r="AI146">
        <v>4.64E-3</v>
      </c>
      <c r="AJ146">
        <v>72295694336</v>
      </c>
      <c r="AK146">
        <v>0.318</v>
      </c>
      <c r="AL146">
        <v>2.63</v>
      </c>
      <c r="AM146">
        <v>29.747067999999999</v>
      </c>
      <c r="AN146">
        <v>50891431936</v>
      </c>
    </row>
    <row r="147" spans="1:40" x14ac:dyDescent="0.3">
      <c r="A147" s="1">
        <v>158</v>
      </c>
      <c r="B147" t="s">
        <v>388</v>
      </c>
      <c r="C147" t="s">
        <v>57</v>
      </c>
      <c r="D147">
        <v>0.33672002000000001</v>
      </c>
      <c r="E147">
        <v>0.14984</v>
      </c>
      <c r="F147">
        <v>0.53793997000000005</v>
      </c>
      <c r="G147">
        <v>3320999936</v>
      </c>
      <c r="H147">
        <v>0.26200000000000001</v>
      </c>
      <c r="I147">
        <v>0.22040000000000001</v>
      </c>
      <c r="J147">
        <v>3545999872</v>
      </c>
      <c r="K147">
        <v>4267000000</v>
      </c>
      <c r="L147">
        <v>2526249984</v>
      </c>
      <c r="M147">
        <v>190.46</v>
      </c>
      <c r="O147">
        <v>1.373</v>
      </c>
      <c r="P147">
        <v>7.0529999999999995E-2</v>
      </c>
      <c r="Q147">
        <v>137.59299999999999</v>
      </c>
      <c r="R147">
        <v>0.20143</v>
      </c>
      <c r="S147">
        <v>2303000064</v>
      </c>
      <c r="T147">
        <v>9592999936</v>
      </c>
      <c r="U147">
        <v>10531000320</v>
      </c>
      <c r="V147">
        <v>8.66</v>
      </c>
      <c r="W147" t="s">
        <v>40</v>
      </c>
      <c r="X147">
        <v>38.383000000000003</v>
      </c>
      <c r="Y147">
        <v>0.95499999999999996</v>
      </c>
      <c r="Z147" t="s">
        <v>42</v>
      </c>
      <c r="AA147" t="s">
        <v>389</v>
      </c>
      <c r="AB147">
        <v>6.5949999999999998</v>
      </c>
      <c r="AC147">
        <v>19.585999999999999</v>
      </c>
      <c r="AD147">
        <v>12.02</v>
      </c>
      <c r="AE147">
        <v>265932992</v>
      </c>
      <c r="AF147">
        <v>25.297999999999998</v>
      </c>
      <c r="AG147">
        <v>5.585</v>
      </c>
      <c r="AH147">
        <v>7.5286584000000003</v>
      </c>
      <c r="AI147">
        <v>3.2699999999999999E-3</v>
      </c>
      <c r="AJ147">
        <v>69451874304</v>
      </c>
      <c r="AL147">
        <v>1.01</v>
      </c>
      <c r="AM147">
        <v>15.845257999999999</v>
      </c>
      <c r="AN147">
        <v>50649600000</v>
      </c>
    </row>
    <row r="148" spans="1:40" x14ac:dyDescent="0.3">
      <c r="A148" s="1">
        <v>159</v>
      </c>
      <c r="B148" t="s">
        <v>390</v>
      </c>
      <c r="C148" t="s">
        <v>44</v>
      </c>
      <c r="D148">
        <v>0.25347999999999998</v>
      </c>
      <c r="E148">
        <v>0.20177998999999999</v>
      </c>
      <c r="F148">
        <v>0.80888002999999997</v>
      </c>
      <c r="G148">
        <v>1474407936</v>
      </c>
      <c r="H148">
        <v>0.309</v>
      </c>
      <c r="I148">
        <v>0.21726999</v>
      </c>
      <c r="J148">
        <v>1141699968</v>
      </c>
      <c r="K148">
        <v>3390877000</v>
      </c>
      <c r="L148">
        <v>1229830400</v>
      </c>
      <c r="M148">
        <v>318.91000000000003</v>
      </c>
      <c r="N148">
        <v>0.93200000000000005</v>
      </c>
      <c r="O148">
        <v>1.1930000000000001</v>
      </c>
      <c r="P148">
        <v>7.2319999999999995E-2</v>
      </c>
      <c r="Q148">
        <v>10.771000000000001</v>
      </c>
      <c r="R148">
        <v>0.17663999</v>
      </c>
      <c r="S148">
        <v>1272046976</v>
      </c>
      <c r="T148">
        <v>580604992</v>
      </c>
      <c r="U148">
        <v>4504126976</v>
      </c>
      <c r="V148">
        <v>8.3089999999999993</v>
      </c>
      <c r="W148" t="s">
        <v>40</v>
      </c>
      <c r="X148">
        <v>29.462</v>
      </c>
      <c r="Y148">
        <v>1.046</v>
      </c>
      <c r="Z148" t="s">
        <v>42</v>
      </c>
      <c r="AA148" t="s">
        <v>391</v>
      </c>
      <c r="AB148">
        <v>10.352</v>
      </c>
      <c r="AC148">
        <v>40.841000000000001</v>
      </c>
      <c r="AD148">
        <v>9.02</v>
      </c>
      <c r="AE148">
        <v>153438000</v>
      </c>
      <c r="AF148">
        <v>34.594999999999999</v>
      </c>
      <c r="AG148">
        <v>4.8099999999999996</v>
      </c>
      <c r="AH148">
        <v>9.2183840000000004</v>
      </c>
      <c r="AI148">
        <v>5.8600003999999999E-3</v>
      </c>
      <c r="AJ148">
        <v>46628708352</v>
      </c>
      <c r="AK148">
        <v>0.93200000000000005</v>
      </c>
      <c r="AL148">
        <v>3.15</v>
      </c>
      <c r="AM148">
        <v>35.355873000000003</v>
      </c>
      <c r="AN148">
        <v>48932913152</v>
      </c>
    </row>
    <row r="149" spans="1:40" x14ac:dyDescent="0.3">
      <c r="A149" s="1">
        <v>160</v>
      </c>
      <c r="B149" t="s">
        <v>392</v>
      </c>
      <c r="C149" t="s">
        <v>165</v>
      </c>
      <c r="D149">
        <v>0.20503001000000001</v>
      </c>
      <c r="E149">
        <v>8.5800000000000001E-2</v>
      </c>
      <c r="F149">
        <v>0.30225000000000002</v>
      </c>
      <c r="G149">
        <v>2563000064</v>
      </c>
      <c r="H149">
        <v>-5.1999999999999998E-2</v>
      </c>
      <c r="I149">
        <v>0.15057000000000001</v>
      </c>
      <c r="J149">
        <v>3716000000</v>
      </c>
      <c r="K149">
        <v>5339000000</v>
      </c>
      <c r="L149">
        <v>2327875072</v>
      </c>
      <c r="M149">
        <v>257.85000000000002</v>
      </c>
      <c r="N149">
        <v>0.20399999999999999</v>
      </c>
      <c r="O149">
        <v>1.536</v>
      </c>
      <c r="P149">
        <v>4.7270003999999997E-2</v>
      </c>
      <c r="Q149">
        <v>40.103999999999999</v>
      </c>
      <c r="R149">
        <v>7.5209999999999999E-2</v>
      </c>
      <c r="S149">
        <v>1126000000</v>
      </c>
      <c r="T149">
        <v>7857999872</v>
      </c>
      <c r="U149">
        <v>18123999232</v>
      </c>
      <c r="V149">
        <v>5.7380000000000004</v>
      </c>
      <c r="W149" t="s">
        <v>40</v>
      </c>
      <c r="X149">
        <v>88.474000000000004</v>
      </c>
      <c r="Y149">
        <v>1.1859999999999999</v>
      </c>
      <c r="Z149" t="s">
        <v>42</v>
      </c>
      <c r="AA149" t="s">
        <v>393</v>
      </c>
      <c r="AB149">
        <v>2.6949999999999998</v>
      </c>
      <c r="AC149">
        <v>13.141999999999999</v>
      </c>
      <c r="AD149">
        <v>13.68</v>
      </c>
      <c r="AE149">
        <v>196224992</v>
      </c>
      <c r="AF149">
        <v>99.006</v>
      </c>
      <c r="AG149">
        <v>7.5140000000000002</v>
      </c>
      <c r="AH149">
        <v>2.6043878</v>
      </c>
      <c r="AI149">
        <v>4.3899999999999998E-3</v>
      </c>
      <c r="AJ149">
        <v>48836210688</v>
      </c>
      <c r="AK149">
        <v>0.129</v>
      </c>
      <c r="AM149">
        <v>18.848683999999999</v>
      </c>
      <c r="AN149">
        <v>50596614144</v>
      </c>
    </row>
    <row r="150" spans="1:40" x14ac:dyDescent="0.3">
      <c r="A150" s="1">
        <v>161</v>
      </c>
      <c r="B150" t="s">
        <v>394</v>
      </c>
      <c r="C150" t="s">
        <v>62</v>
      </c>
      <c r="D150">
        <v>4.3639999999999998E-2</v>
      </c>
      <c r="E150">
        <v>1.14E-2</v>
      </c>
      <c r="F150">
        <v>0.16563</v>
      </c>
      <c r="G150">
        <v>4204999936</v>
      </c>
      <c r="H150">
        <v>0.152</v>
      </c>
      <c r="I150">
        <v>3.1150000000000001E-2</v>
      </c>
      <c r="J150">
        <v>5157000192</v>
      </c>
      <c r="K150">
        <v>19574000000</v>
      </c>
      <c r="L150">
        <v>3878000128</v>
      </c>
      <c r="M150">
        <v>85.59</v>
      </c>
      <c r="O150">
        <v>1.1060000000000001</v>
      </c>
      <c r="P150">
        <v>3.1280000000000002E-2</v>
      </c>
      <c r="Q150">
        <v>83.861000000000004</v>
      </c>
      <c r="R150">
        <v>5.0430004E-2</v>
      </c>
      <c r="S150">
        <v>14657000448</v>
      </c>
      <c r="T150">
        <v>22660999168</v>
      </c>
      <c r="U150">
        <v>118175997952</v>
      </c>
      <c r="V150">
        <v>25.146000000000001</v>
      </c>
      <c r="W150" t="s">
        <v>40</v>
      </c>
      <c r="X150">
        <v>202.762</v>
      </c>
      <c r="Y150">
        <v>1.0429999999999999</v>
      </c>
      <c r="Z150" t="s">
        <v>42</v>
      </c>
      <c r="AA150" t="s">
        <v>395</v>
      </c>
      <c r="AB150">
        <v>0.48099999999999998</v>
      </c>
      <c r="AC150">
        <v>11.032</v>
      </c>
      <c r="AD150">
        <v>5.45</v>
      </c>
      <c r="AE150">
        <v>583502976</v>
      </c>
      <c r="AF150">
        <v>45.356999999999999</v>
      </c>
      <c r="AG150">
        <v>1.2490000000000001</v>
      </c>
      <c r="AH150">
        <v>1.8870294999999999</v>
      </c>
      <c r="AI150">
        <v>1.1560000500000001E-2</v>
      </c>
      <c r="AJ150">
        <v>56894472192</v>
      </c>
      <c r="AL150">
        <v>1.47</v>
      </c>
      <c r="AM150">
        <v>15.704587</v>
      </c>
      <c r="AN150">
        <v>49942016000</v>
      </c>
    </row>
    <row r="151" spans="1:40" x14ac:dyDescent="0.3">
      <c r="A151" s="1">
        <v>162</v>
      </c>
      <c r="B151" t="s">
        <v>396</v>
      </c>
      <c r="C151" t="s">
        <v>223</v>
      </c>
      <c r="D151">
        <v>0.38316001999999999</v>
      </c>
      <c r="E151">
        <v>0.19949</v>
      </c>
      <c r="F151">
        <v>0.67801005000000003</v>
      </c>
      <c r="G151">
        <v>2011900032</v>
      </c>
      <c r="H151">
        <v>0.13200000000000001</v>
      </c>
      <c r="I151">
        <v>0.27340999999999999</v>
      </c>
      <c r="J151">
        <v>2213799936</v>
      </c>
      <c r="K151">
        <v>3917400000</v>
      </c>
      <c r="L151">
        <v>1319500032</v>
      </c>
      <c r="M151">
        <v>465.86</v>
      </c>
      <c r="N151">
        <v>0.11899999999999999</v>
      </c>
      <c r="O151">
        <v>0.77600000000000002</v>
      </c>
      <c r="P151">
        <v>4.1360002E-2</v>
      </c>
      <c r="Q151">
        <v>70.513999999999996</v>
      </c>
      <c r="R151">
        <v>8.9149999999999993E-2</v>
      </c>
      <c r="S151">
        <v>351500000</v>
      </c>
      <c r="T151">
        <v>8154100224</v>
      </c>
      <c r="U151">
        <v>5777800192</v>
      </c>
      <c r="V151">
        <v>3.3290000000000002</v>
      </c>
      <c r="W151" t="s">
        <v>40</v>
      </c>
      <c r="X151">
        <v>54.87</v>
      </c>
      <c r="Y151">
        <v>0.42099999999999999</v>
      </c>
      <c r="Z151" t="s">
        <v>42</v>
      </c>
      <c r="AA151" t="s">
        <v>397</v>
      </c>
      <c r="AB151">
        <v>9.4870000000000001</v>
      </c>
      <c r="AC151">
        <v>24.76</v>
      </c>
      <c r="AD151">
        <v>15.26</v>
      </c>
      <c r="AE151">
        <v>105485000</v>
      </c>
      <c r="AF151">
        <v>107.52500000000001</v>
      </c>
      <c r="AG151">
        <v>10.537000000000001</v>
      </c>
      <c r="AH151">
        <v>4.3325734000000002</v>
      </c>
      <c r="AI151">
        <v>5.7599996000000002E-3</v>
      </c>
      <c r="AJ151">
        <v>54813814784</v>
      </c>
      <c r="AK151">
        <v>0.125</v>
      </c>
      <c r="AL151">
        <v>2.79</v>
      </c>
      <c r="AM151">
        <v>30.528176999999999</v>
      </c>
      <c r="AN151">
        <v>49141239808</v>
      </c>
    </row>
    <row r="152" spans="1:40" x14ac:dyDescent="0.3">
      <c r="A152" s="1">
        <v>163</v>
      </c>
      <c r="B152" t="s">
        <v>398</v>
      </c>
      <c r="C152" t="s">
        <v>155</v>
      </c>
      <c r="D152">
        <v>0.37291000000000002</v>
      </c>
      <c r="E152">
        <v>0.14593</v>
      </c>
      <c r="F152">
        <v>0.45705003</v>
      </c>
      <c r="G152">
        <v>3883699968</v>
      </c>
      <c r="H152">
        <v>0.13700000000000001</v>
      </c>
      <c r="I152">
        <v>0.20907000000000001</v>
      </c>
      <c r="J152">
        <v>6093799936</v>
      </c>
      <c r="K152">
        <v>6966000000</v>
      </c>
      <c r="L152">
        <v>-1712162560</v>
      </c>
      <c r="M152">
        <v>96.84</v>
      </c>
      <c r="N152">
        <v>5.2999999999999999E-2</v>
      </c>
      <c r="O152">
        <v>0.58099999999999996</v>
      </c>
      <c r="P152">
        <v>2.5880001E-2</v>
      </c>
      <c r="Q152">
        <v>168.28899999999999</v>
      </c>
      <c r="R152">
        <v>0.11047999999999999</v>
      </c>
      <c r="S152">
        <v>1591100032</v>
      </c>
      <c r="T152">
        <v>37910900736</v>
      </c>
      <c r="U152">
        <v>16341199872</v>
      </c>
      <c r="V152">
        <v>3.1589999999999998</v>
      </c>
      <c r="W152" t="s">
        <v>40</v>
      </c>
      <c r="X152">
        <v>32.768999999999998</v>
      </c>
      <c r="Y152">
        <v>0.38900000000000001</v>
      </c>
      <c r="Z152" t="s">
        <v>42</v>
      </c>
      <c r="AA152" t="s">
        <v>399</v>
      </c>
      <c r="AB152">
        <v>4.9059999999999997</v>
      </c>
      <c r="AC152">
        <v>13.154999999999999</v>
      </c>
      <c r="AD152">
        <v>4.97</v>
      </c>
      <c r="AE152">
        <v>496390016</v>
      </c>
      <c r="AF152">
        <v>44.24</v>
      </c>
      <c r="AG152">
        <v>4.7619999999999996</v>
      </c>
      <c r="AH152">
        <v>2.1889691</v>
      </c>
      <c r="AI152">
        <v>1.7999999E-4</v>
      </c>
      <c r="AJ152">
        <v>80164986880</v>
      </c>
      <c r="AK152">
        <v>6.3E-2</v>
      </c>
      <c r="AL152">
        <v>3.44</v>
      </c>
      <c r="AM152">
        <v>19.484909999999999</v>
      </c>
      <c r="AN152">
        <v>48070406144</v>
      </c>
    </row>
    <row r="153" spans="1:40" x14ac:dyDescent="0.3">
      <c r="A153" s="1">
        <v>164</v>
      </c>
      <c r="B153" t="s">
        <v>400</v>
      </c>
      <c r="C153" t="s">
        <v>113</v>
      </c>
      <c r="D153">
        <v>0.18090001</v>
      </c>
      <c r="E153">
        <v>0.11547</v>
      </c>
      <c r="F153">
        <v>0.37359002000000002</v>
      </c>
      <c r="G153">
        <v>2495000064</v>
      </c>
      <c r="H153">
        <v>0.14199999999999999</v>
      </c>
      <c r="I153">
        <v>0.15167</v>
      </c>
      <c r="J153">
        <v>3348000000</v>
      </c>
      <c r="K153">
        <v>6914000000</v>
      </c>
      <c r="L153">
        <v>1801750016</v>
      </c>
      <c r="M153">
        <v>91.51</v>
      </c>
      <c r="N153">
        <v>0.84599999999999997</v>
      </c>
      <c r="O153">
        <v>2.08</v>
      </c>
      <c r="P153">
        <v>0.1009</v>
      </c>
      <c r="Q153">
        <v>13.802</v>
      </c>
      <c r="R153">
        <v>0.18722999000000001</v>
      </c>
      <c r="S153">
        <v>2719000064</v>
      </c>
      <c r="T153">
        <v>1655000064</v>
      </c>
      <c r="U153">
        <v>18506999808</v>
      </c>
      <c r="V153">
        <v>5.1840000000000002</v>
      </c>
      <c r="W153" t="s">
        <v>40</v>
      </c>
      <c r="X153">
        <v>35.118000000000002</v>
      </c>
      <c r="Y153">
        <v>1.8660000000000001</v>
      </c>
      <c r="Z153" t="s">
        <v>42</v>
      </c>
      <c r="AA153" t="s">
        <v>401</v>
      </c>
      <c r="AB153">
        <v>2.3820000000000001</v>
      </c>
      <c r="AC153">
        <v>13.167999999999999</v>
      </c>
      <c r="AD153">
        <v>4.5199999999999996</v>
      </c>
      <c r="AE153">
        <v>525252000</v>
      </c>
      <c r="AF153">
        <v>21.992000000000001</v>
      </c>
      <c r="AG153">
        <v>3.5449999999999999</v>
      </c>
      <c r="AH153">
        <v>4.1610583999999999</v>
      </c>
      <c r="AI153">
        <v>1.1900000000000001E-3</v>
      </c>
      <c r="AJ153">
        <v>44087959552</v>
      </c>
      <c r="AK153">
        <v>0.82299999999999995</v>
      </c>
      <c r="AL153">
        <v>1.61</v>
      </c>
      <c r="AM153">
        <v>20.245574999999999</v>
      </c>
      <c r="AN153">
        <v>48622833664</v>
      </c>
    </row>
    <row r="154" spans="1:40" x14ac:dyDescent="0.3">
      <c r="A154" s="1">
        <v>165</v>
      </c>
      <c r="B154" t="s">
        <v>403</v>
      </c>
      <c r="C154" t="s">
        <v>402</v>
      </c>
      <c r="D154">
        <v>0.25506002</v>
      </c>
      <c r="E154">
        <v>8.7580000000000005E-2</v>
      </c>
      <c r="F154">
        <v>0.34427999999999997</v>
      </c>
      <c r="G154">
        <v>4051000064</v>
      </c>
      <c r="H154">
        <v>-1.7999999999999999E-2</v>
      </c>
      <c r="I154">
        <v>0.21989</v>
      </c>
      <c r="J154">
        <v>6701000192</v>
      </c>
      <c r="K154">
        <v>9171000000</v>
      </c>
      <c r="L154">
        <v>3095749888</v>
      </c>
      <c r="M154">
        <v>39.29</v>
      </c>
      <c r="N154">
        <v>0.20899999999999999</v>
      </c>
      <c r="O154">
        <v>1.1299999999999999</v>
      </c>
      <c r="P154">
        <v>3.7409999999999999E-2</v>
      </c>
      <c r="Q154">
        <v>47.921999999999997</v>
      </c>
      <c r="R154">
        <v>4.6460000000000001E-2</v>
      </c>
      <c r="S154">
        <v>2272999936</v>
      </c>
      <c r="T154">
        <v>24074999808</v>
      </c>
      <c r="U154">
        <v>26272000000</v>
      </c>
      <c r="V154">
        <v>1.855</v>
      </c>
      <c r="W154" t="s">
        <v>40</v>
      </c>
      <c r="X154">
        <v>21.454999999999998</v>
      </c>
      <c r="Y154">
        <v>0.5</v>
      </c>
      <c r="Z154" t="s">
        <v>42</v>
      </c>
      <c r="AA154" t="s">
        <v>404</v>
      </c>
      <c r="AB154">
        <v>2.5569999999999999</v>
      </c>
      <c r="AC154">
        <v>10.025</v>
      </c>
      <c r="AD154">
        <v>2.64</v>
      </c>
      <c r="AE154">
        <v>1224039936</v>
      </c>
      <c r="AF154">
        <v>40.822000000000003</v>
      </c>
      <c r="AG154">
        <v>1.8580000000000001</v>
      </c>
      <c r="AH154">
        <v>0.96247125</v>
      </c>
      <c r="AI154">
        <v>1.651E-2</v>
      </c>
      <c r="AJ154">
        <v>67175399424</v>
      </c>
      <c r="AK154">
        <v>0.22800000000000001</v>
      </c>
      <c r="AL154">
        <v>-5.44</v>
      </c>
      <c r="AM154">
        <v>14.882576</v>
      </c>
      <c r="AN154">
        <v>48092528640</v>
      </c>
    </row>
    <row r="155" spans="1:40" x14ac:dyDescent="0.3">
      <c r="A155" s="1">
        <v>166</v>
      </c>
      <c r="B155" t="s">
        <v>406</v>
      </c>
      <c r="C155" t="s">
        <v>405</v>
      </c>
      <c r="D155">
        <v>0.19531999999999999</v>
      </c>
      <c r="E155">
        <v>0.11324999500000001</v>
      </c>
      <c r="F155">
        <v>0.19092000000000001</v>
      </c>
      <c r="G155">
        <v>6064000000</v>
      </c>
      <c r="H155">
        <v>0.52800000000000002</v>
      </c>
      <c r="I155">
        <v>0.14032</v>
      </c>
      <c r="J155">
        <v>10021999616</v>
      </c>
      <c r="K155">
        <v>5185000000</v>
      </c>
      <c r="L155">
        <v>4202125056</v>
      </c>
      <c r="M155">
        <v>64.7</v>
      </c>
      <c r="O155">
        <v>1.5940000000000001</v>
      </c>
      <c r="P155">
        <v>7.3959999999999998E-2</v>
      </c>
      <c r="Q155">
        <v>97.456999999999994</v>
      </c>
      <c r="R155">
        <v>0.39372003</v>
      </c>
      <c r="S155">
        <v>3052000000</v>
      </c>
      <c r="T155">
        <v>16595000320</v>
      </c>
      <c r="U155">
        <v>51309998080</v>
      </c>
      <c r="V155">
        <v>4.1260000000000003</v>
      </c>
      <c r="W155" t="s">
        <v>40</v>
      </c>
      <c r="X155">
        <v>68.914000000000001</v>
      </c>
      <c r="Y155">
        <v>0.77800000000000002</v>
      </c>
      <c r="Z155" t="s">
        <v>42</v>
      </c>
      <c r="AA155" t="s">
        <v>407</v>
      </c>
      <c r="AB155">
        <v>1.143</v>
      </c>
      <c r="AC155">
        <v>5.8529999999999998</v>
      </c>
      <c r="AD155">
        <v>6.38</v>
      </c>
      <c r="AE155">
        <v>739614016</v>
      </c>
      <c r="AF155">
        <v>22.225999999999999</v>
      </c>
      <c r="AG155">
        <v>7.7050000000000001</v>
      </c>
      <c r="AH155">
        <v>2.9110049999999998</v>
      </c>
      <c r="AI155">
        <v>1.41E-3</v>
      </c>
      <c r="AJ155">
        <v>58656788480</v>
      </c>
      <c r="AL155">
        <v>0.12</v>
      </c>
      <c r="AM155">
        <v>10.141066</v>
      </c>
      <c r="AN155">
        <v>47853023232</v>
      </c>
    </row>
    <row r="156" spans="1:40" x14ac:dyDescent="0.3">
      <c r="A156" s="1">
        <v>167</v>
      </c>
      <c r="B156" t="s">
        <v>409</v>
      </c>
      <c r="C156" t="s">
        <v>408</v>
      </c>
      <c r="D156">
        <v>0.24094999</v>
      </c>
      <c r="E156">
        <v>0.15847</v>
      </c>
      <c r="F156">
        <v>0.52527000000000001</v>
      </c>
      <c r="G156">
        <v>3052801024</v>
      </c>
      <c r="H156">
        <v>8.5000000000000006E-2</v>
      </c>
      <c r="I156">
        <v>0.21601000000000001</v>
      </c>
      <c r="J156">
        <v>3099738112</v>
      </c>
      <c r="K156">
        <v>6085692000</v>
      </c>
      <c r="L156">
        <v>2146309760</v>
      </c>
      <c r="M156">
        <v>703.36</v>
      </c>
      <c r="N156">
        <v>0.14099999999999999</v>
      </c>
      <c r="O156">
        <v>0.76200000000000001</v>
      </c>
      <c r="P156">
        <v>0.14299000000000001</v>
      </c>
      <c r="R156">
        <v>7.1736700000000004</v>
      </c>
      <c r="S156">
        <v>449302016</v>
      </c>
      <c r="T156">
        <v>5892047872</v>
      </c>
      <c r="U156">
        <v>12864842752</v>
      </c>
      <c r="V156">
        <v>6.6379999999999999</v>
      </c>
      <c r="W156" t="s">
        <v>40</v>
      </c>
      <c r="X156">
        <v>183.309</v>
      </c>
      <c r="Y156">
        <v>0.14099999999999999</v>
      </c>
      <c r="Z156" t="s">
        <v>42</v>
      </c>
      <c r="AA156" t="s">
        <v>410</v>
      </c>
      <c r="AB156">
        <v>4.0999999999999996</v>
      </c>
      <c r="AC156">
        <v>17.015999999999998</v>
      </c>
      <c r="AD156">
        <v>30.74</v>
      </c>
      <c r="AE156">
        <v>67378400</v>
      </c>
      <c r="AF156">
        <v>-2.081</v>
      </c>
      <c r="AG156">
        <v>28.779</v>
      </c>
      <c r="AI156">
        <v>1.28999995E-2</v>
      </c>
      <c r="AJ156">
        <v>52744814592</v>
      </c>
      <c r="AK156">
        <v>0.06</v>
      </c>
      <c r="AL156">
        <v>1.93</v>
      </c>
      <c r="AM156">
        <v>22.880935999999998</v>
      </c>
      <c r="AN156">
        <v>47391268864</v>
      </c>
    </row>
    <row r="157" spans="1:40" x14ac:dyDescent="0.3">
      <c r="A157" s="1">
        <v>168</v>
      </c>
      <c r="B157" t="s">
        <v>411</v>
      </c>
      <c r="C157" t="s">
        <v>119</v>
      </c>
      <c r="D157">
        <v>0.18620999999999999</v>
      </c>
      <c r="E157">
        <v>0.31304999999999999</v>
      </c>
      <c r="F157">
        <v>0.91737000000000002</v>
      </c>
      <c r="G157">
        <v>1466099968</v>
      </c>
      <c r="H157">
        <v>0.182</v>
      </c>
      <c r="I157">
        <v>0.16372</v>
      </c>
      <c r="J157">
        <v>784700032</v>
      </c>
      <c r="K157">
        <v>3484900000</v>
      </c>
      <c r="L157">
        <v>1292612480</v>
      </c>
      <c r="M157">
        <v>212.14</v>
      </c>
      <c r="N157">
        <v>3.4000000000000002E-2</v>
      </c>
      <c r="O157">
        <v>0.80900000000000005</v>
      </c>
      <c r="P157">
        <v>5.9569999999999998E-2</v>
      </c>
      <c r="Q157">
        <v>238.261</v>
      </c>
      <c r="R157">
        <v>1.9555298999999999</v>
      </c>
      <c r="S157">
        <v>1792099968</v>
      </c>
      <c r="T157">
        <v>3049499904</v>
      </c>
      <c r="U157">
        <v>4214000128</v>
      </c>
      <c r="V157">
        <v>8.1470000000000002</v>
      </c>
      <c r="W157" t="s">
        <v>40</v>
      </c>
      <c r="X157">
        <v>19.181000000000001</v>
      </c>
      <c r="Y157">
        <v>0.72299999999999998</v>
      </c>
      <c r="Z157" t="s">
        <v>42</v>
      </c>
      <c r="AA157" t="s">
        <v>412</v>
      </c>
      <c r="AB157">
        <v>14.82</v>
      </c>
      <c r="AC157">
        <v>79.587000000000003</v>
      </c>
      <c r="AD157">
        <v>6.83</v>
      </c>
      <c r="AE157">
        <v>219972992</v>
      </c>
      <c r="AF157">
        <v>5.8120000000000003</v>
      </c>
      <c r="AG157">
        <v>5.9279999999999999</v>
      </c>
      <c r="AH157">
        <v>36.500346999999998</v>
      </c>
      <c r="AI157">
        <v>1.8699999999999999E-3</v>
      </c>
      <c r="AJ157">
        <v>62451806208</v>
      </c>
      <c r="AK157">
        <v>3.4000000000000002E-2</v>
      </c>
      <c r="AL157">
        <v>1.92</v>
      </c>
      <c r="AM157">
        <v>31.060030000000001</v>
      </c>
      <c r="AN157">
        <v>46665068544</v>
      </c>
    </row>
    <row r="158" spans="1:40" x14ac:dyDescent="0.3">
      <c r="A158" s="1">
        <v>169</v>
      </c>
      <c r="B158" t="s">
        <v>414</v>
      </c>
      <c r="C158" t="s">
        <v>413</v>
      </c>
      <c r="D158">
        <v>0.17618998999999999</v>
      </c>
      <c r="E158">
        <v>6.9169999999999995E-2</v>
      </c>
      <c r="F158">
        <v>0.34050000000000002</v>
      </c>
      <c r="G158">
        <v>2487000064</v>
      </c>
      <c r="H158">
        <v>7.3999999999999996E-2</v>
      </c>
      <c r="I158">
        <v>0.14049</v>
      </c>
      <c r="J158">
        <v>4169999872</v>
      </c>
      <c r="K158">
        <v>8059000000</v>
      </c>
      <c r="L158">
        <v>2693250048</v>
      </c>
      <c r="M158">
        <v>66.239999999999995</v>
      </c>
      <c r="N158">
        <v>-0.37</v>
      </c>
      <c r="O158">
        <v>1.099</v>
      </c>
      <c r="P158">
        <v>5.0250000000000003E-2</v>
      </c>
      <c r="Q158">
        <v>48.6</v>
      </c>
      <c r="R158">
        <v>9.3649999999999997E-2</v>
      </c>
      <c r="S158">
        <v>1336000000</v>
      </c>
      <c r="T158">
        <v>9114000384</v>
      </c>
      <c r="U158">
        <v>23668000768</v>
      </c>
      <c r="V158">
        <v>1.897</v>
      </c>
      <c r="W158" t="s">
        <v>40</v>
      </c>
      <c r="X158">
        <v>33.027999999999999</v>
      </c>
      <c r="Y158">
        <v>0.77800000000000002</v>
      </c>
      <c r="Z158" t="s">
        <v>42</v>
      </c>
      <c r="AA158" t="s">
        <v>415</v>
      </c>
      <c r="AB158">
        <v>2.77</v>
      </c>
      <c r="AC158">
        <v>15.721</v>
      </c>
      <c r="AD158">
        <v>3.5</v>
      </c>
      <c r="AE158">
        <v>704332032</v>
      </c>
      <c r="AF158">
        <v>24.779</v>
      </c>
      <c r="AG158">
        <v>2.2719999999999998</v>
      </c>
      <c r="AH158">
        <v>2.6732314000000001</v>
      </c>
      <c r="AI158">
        <v>2.0899999999999998E-3</v>
      </c>
      <c r="AJ158">
        <v>65555062784</v>
      </c>
      <c r="AK158">
        <v>-0.39</v>
      </c>
      <c r="AL158">
        <v>1.4</v>
      </c>
      <c r="AM158">
        <v>18.925713999999999</v>
      </c>
      <c r="AN158">
        <v>46654951424</v>
      </c>
    </row>
    <row r="159" spans="1:40" x14ac:dyDescent="0.3">
      <c r="A159" s="1">
        <v>170</v>
      </c>
      <c r="B159" t="s">
        <v>416</v>
      </c>
      <c r="C159" t="s">
        <v>242</v>
      </c>
      <c r="D159">
        <v>0.43147999999999997</v>
      </c>
      <c r="E159">
        <v>0.29526999999999998</v>
      </c>
      <c r="F159">
        <v>0.70262999999999998</v>
      </c>
      <c r="G159">
        <v>1384999936</v>
      </c>
      <c r="H159">
        <v>0.127</v>
      </c>
      <c r="I159">
        <v>0.38806000000000002</v>
      </c>
      <c r="J159">
        <v>1869299968</v>
      </c>
      <c r="K159">
        <v>2785600000</v>
      </c>
      <c r="L159">
        <v>1313262464</v>
      </c>
      <c r="M159">
        <v>128.71</v>
      </c>
      <c r="N159">
        <v>0.21299999999999999</v>
      </c>
      <c r="O159">
        <v>1.27</v>
      </c>
      <c r="P159">
        <v>0.11481</v>
      </c>
      <c r="Q159">
        <v>28.626999999999999</v>
      </c>
      <c r="R159">
        <v>0.42571998</v>
      </c>
      <c r="S159">
        <v>1012200000</v>
      </c>
      <c r="T159">
        <v>893100032</v>
      </c>
      <c r="U159">
        <v>4332299776</v>
      </c>
      <c r="V159">
        <v>2.8050000000000002</v>
      </c>
      <c r="W159" t="s">
        <v>40</v>
      </c>
      <c r="X159">
        <v>12.022</v>
      </c>
      <c r="Y159">
        <v>0.45600000000000002</v>
      </c>
      <c r="Z159" t="s">
        <v>42</v>
      </c>
      <c r="AA159" t="s">
        <v>417</v>
      </c>
      <c r="AB159">
        <v>11.153</v>
      </c>
      <c r="AC159">
        <v>25.847999999999999</v>
      </c>
      <c r="AD159">
        <v>3.87</v>
      </c>
      <c r="AE159">
        <v>360756992</v>
      </c>
      <c r="AF159">
        <v>8.6470000000000002</v>
      </c>
      <c r="AG159">
        <v>3.52</v>
      </c>
      <c r="AH159">
        <v>14.884931999999999</v>
      </c>
      <c r="AI159">
        <v>0.10752</v>
      </c>
      <c r="AJ159">
        <v>48318300160</v>
      </c>
      <c r="AK159">
        <v>0.219</v>
      </c>
      <c r="AL159">
        <v>3.01</v>
      </c>
      <c r="AM159">
        <v>33.258400000000002</v>
      </c>
      <c r="AN159">
        <v>46433034240</v>
      </c>
    </row>
    <row r="160" spans="1:40" x14ac:dyDescent="0.3">
      <c r="A160" s="1">
        <v>171</v>
      </c>
      <c r="B160" t="s">
        <v>419</v>
      </c>
      <c r="C160" t="s">
        <v>418</v>
      </c>
      <c r="D160">
        <v>1.3679999999999999E-2</v>
      </c>
      <c r="E160">
        <v>5.4900004000000002E-3</v>
      </c>
      <c r="F160">
        <v>5.0300002000000003E-2</v>
      </c>
      <c r="G160">
        <v>4917000192</v>
      </c>
      <c r="H160">
        <v>9.6000000000000002E-2</v>
      </c>
      <c r="I160">
        <v>1.0500000000000001E-2</v>
      </c>
      <c r="J160">
        <v>3516999936</v>
      </c>
      <c r="K160">
        <v>11967000000</v>
      </c>
      <c r="L160">
        <v>2778374912</v>
      </c>
      <c r="M160">
        <v>310.48</v>
      </c>
      <c r="O160">
        <v>0.98</v>
      </c>
      <c r="P160">
        <v>2.6859999999999998E-2</v>
      </c>
      <c r="R160">
        <v>14.01754</v>
      </c>
      <c r="S160">
        <v>2753999872</v>
      </c>
      <c r="T160">
        <v>8098999808</v>
      </c>
      <c r="U160">
        <v>257005993984</v>
      </c>
      <c r="V160">
        <v>18.385000000000002</v>
      </c>
      <c r="W160" t="s">
        <v>40</v>
      </c>
      <c r="X160">
        <v>1655.9659999999999</v>
      </c>
      <c r="Y160">
        <v>0.44500000000000001</v>
      </c>
      <c r="Z160" t="s">
        <v>42</v>
      </c>
      <c r="AA160" t="s">
        <v>420</v>
      </c>
      <c r="AB160">
        <v>0.185</v>
      </c>
      <c r="AC160">
        <v>13.516999999999999</v>
      </c>
      <c r="AD160">
        <v>22.03</v>
      </c>
      <c r="AE160">
        <v>152682000</v>
      </c>
      <c r="AF160">
        <v>-3.74</v>
      </c>
      <c r="AG160">
        <v>-30.588999999999999</v>
      </c>
      <c r="AI160">
        <v>5.6999999999999998E-4</v>
      </c>
      <c r="AJ160">
        <v>47538864128</v>
      </c>
      <c r="AL160">
        <v>0.93</v>
      </c>
      <c r="AM160">
        <v>14.093508999999999</v>
      </c>
      <c r="AN160">
        <v>47404707840</v>
      </c>
    </row>
    <row r="161" spans="1:40" x14ac:dyDescent="0.3">
      <c r="A161" s="1">
        <v>172</v>
      </c>
      <c r="B161" t="s">
        <v>421</v>
      </c>
      <c r="C161" t="s">
        <v>108</v>
      </c>
      <c r="D161">
        <v>0.32240000000000002</v>
      </c>
      <c r="E161">
        <v>0.23165000999999999</v>
      </c>
      <c r="F161">
        <v>0.58763003000000003</v>
      </c>
      <c r="G161">
        <v>755545984</v>
      </c>
      <c r="H161">
        <v>0.111</v>
      </c>
      <c r="I161">
        <v>0.28987000000000002</v>
      </c>
      <c r="J161">
        <v>1036624000</v>
      </c>
      <c r="K161">
        <v>1889432000</v>
      </c>
      <c r="L161">
        <v>534410496</v>
      </c>
      <c r="M161">
        <v>538.92999999999995</v>
      </c>
      <c r="N161">
        <v>-6.0999999999999999E-2</v>
      </c>
      <c r="O161">
        <v>1.252</v>
      </c>
      <c r="P161">
        <v>0.24621999999999999</v>
      </c>
      <c r="Q161">
        <v>149.42500000000001</v>
      </c>
      <c r="R161">
        <v>1.1261699000000001</v>
      </c>
      <c r="S161">
        <v>144454000</v>
      </c>
      <c r="T161">
        <v>1031022976</v>
      </c>
      <c r="U161">
        <v>3215360000</v>
      </c>
      <c r="V161">
        <v>1.7150000000000001</v>
      </c>
      <c r="W161" t="s">
        <v>40</v>
      </c>
      <c r="X161">
        <v>37.738999999999997</v>
      </c>
      <c r="Y161">
        <v>0.747</v>
      </c>
      <c r="Z161" t="s">
        <v>42</v>
      </c>
      <c r="AA161" t="s">
        <v>422</v>
      </c>
      <c r="AB161">
        <v>13.83</v>
      </c>
      <c r="AC161">
        <v>42.896000000000001</v>
      </c>
      <c r="AD161">
        <v>9.41</v>
      </c>
      <c r="AE161">
        <v>84793600</v>
      </c>
      <c r="AF161">
        <v>8.8919999999999995</v>
      </c>
      <c r="AG161">
        <v>8.718</v>
      </c>
      <c r="AH161">
        <v>60.608409999999999</v>
      </c>
      <c r="AI161">
        <v>9.4400000000000005E-3</v>
      </c>
      <c r="AJ161">
        <v>44466933760</v>
      </c>
      <c r="AK161">
        <v>-6.9000000000000006E-2</v>
      </c>
      <c r="AL161">
        <v>3.16</v>
      </c>
      <c r="AM161">
        <v>57.272053</v>
      </c>
      <c r="AN161">
        <v>45697814528</v>
      </c>
    </row>
    <row r="162" spans="1:40" x14ac:dyDescent="0.3">
      <c r="A162" s="1">
        <v>173</v>
      </c>
      <c r="B162" t="s">
        <v>423</v>
      </c>
      <c r="C162" t="s">
        <v>126</v>
      </c>
      <c r="D162">
        <v>0.19278000000000001</v>
      </c>
      <c r="E162">
        <v>0.22822999999999999</v>
      </c>
      <c r="F162">
        <v>0.69291000000000003</v>
      </c>
      <c r="G162">
        <v>508700000</v>
      </c>
      <c r="H162">
        <v>0.29799999999999999</v>
      </c>
      <c r="I162">
        <v>0.15919</v>
      </c>
      <c r="J162">
        <v>447100000</v>
      </c>
      <c r="K162">
        <v>1280100000</v>
      </c>
      <c r="L162">
        <v>-89262496</v>
      </c>
      <c r="M162">
        <v>480.97</v>
      </c>
      <c r="N162">
        <v>-2.7E-2</v>
      </c>
      <c r="O162">
        <v>4.9749999999999996</v>
      </c>
      <c r="P162">
        <v>5.3609999999999998E-2</v>
      </c>
      <c r="Q162">
        <v>88.174999999999997</v>
      </c>
      <c r="R162">
        <v>0.29119</v>
      </c>
      <c r="S162">
        <v>2697900032</v>
      </c>
      <c r="T162">
        <v>1883500032</v>
      </c>
      <c r="U162">
        <v>2319200000</v>
      </c>
      <c r="V162">
        <v>27.835999999999999</v>
      </c>
      <c r="W162" t="s">
        <v>40</v>
      </c>
      <c r="X162">
        <v>24.033000000000001</v>
      </c>
      <c r="Y162">
        <v>4.391</v>
      </c>
      <c r="Z162" t="s">
        <v>42</v>
      </c>
      <c r="AA162" t="s">
        <v>424</v>
      </c>
      <c r="AB162">
        <v>21.056999999999999</v>
      </c>
      <c r="AC162">
        <v>109.22799999999999</v>
      </c>
      <c r="AD162">
        <v>3.62</v>
      </c>
      <c r="AE162">
        <v>96922000</v>
      </c>
      <c r="AF162">
        <v>22.044</v>
      </c>
      <c r="AG162">
        <v>5.3019999999999996</v>
      </c>
      <c r="AH162">
        <v>21.818633999999999</v>
      </c>
      <c r="AI162">
        <v>4.4000000000000003E-3</v>
      </c>
      <c r="AJ162">
        <v>48835850240</v>
      </c>
      <c r="AK162">
        <v>-1.7999999999999999E-2</v>
      </c>
      <c r="AL162">
        <v>9.92</v>
      </c>
      <c r="AM162">
        <v>132.86464000000001</v>
      </c>
      <c r="AN162">
        <v>46616576000</v>
      </c>
    </row>
    <row r="163" spans="1:40" x14ac:dyDescent="0.3">
      <c r="A163" s="1">
        <v>174</v>
      </c>
      <c r="B163" t="s">
        <v>426</v>
      </c>
      <c r="C163" t="s">
        <v>425</v>
      </c>
      <c r="D163">
        <v>5.9959996000000002E-2</v>
      </c>
      <c r="E163">
        <v>8.0850000000000005E-2</v>
      </c>
      <c r="F163">
        <v>8.6699999999999999E-2</v>
      </c>
      <c r="H163">
        <v>0.96699999999999997</v>
      </c>
      <c r="I163">
        <v>3.1719997999999999E-2</v>
      </c>
      <c r="J163">
        <v>7222332416</v>
      </c>
      <c r="K163">
        <v>10443000000</v>
      </c>
      <c r="M163">
        <v>82.23</v>
      </c>
      <c r="N163">
        <v>1.907</v>
      </c>
      <c r="Q163">
        <v>79.974000000000004</v>
      </c>
      <c r="R163">
        <v>7.7149999999999996E-2</v>
      </c>
      <c r="S163">
        <v>13226000384</v>
      </c>
      <c r="T163">
        <v>28761999360</v>
      </c>
      <c r="U163">
        <v>120450998272</v>
      </c>
      <c r="V163">
        <v>22.843</v>
      </c>
      <c r="W163" t="s">
        <v>40</v>
      </c>
      <c r="X163">
        <v>189.98599999999999</v>
      </c>
      <c r="Z163" t="s">
        <v>42</v>
      </c>
      <c r="AA163" t="s">
        <v>427</v>
      </c>
      <c r="AB163">
        <v>0.55100000000000005</v>
      </c>
      <c r="AC163">
        <v>9.1839999999999993</v>
      </c>
      <c r="AD163">
        <v>4.22</v>
      </c>
      <c r="AE163">
        <v>615587968</v>
      </c>
      <c r="AF163">
        <v>45.466000000000001</v>
      </c>
      <c r="AG163">
        <v>14.246</v>
      </c>
      <c r="AH163">
        <v>1.8086043999999999</v>
      </c>
      <c r="AI163">
        <v>3.3800000000000002E-3</v>
      </c>
      <c r="AJ163">
        <v>66332340224</v>
      </c>
      <c r="AK163">
        <v>1.716</v>
      </c>
      <c r="AL163">
        <v>0.89</v>
      </c>
      <c r="AM163">
        <v>19.485785</v>
      </c>
      <c r="AN163">
        <v>50619801600</v>
      </c>
    </row>
    <row r="164" spans="1:40" x14ac:dyDescent="0.3">
      <c r="A164" s="1">
        <v>175</v>
      </c>
      <c r="B164" t="s">
        <v>429</v>
      </c>
      <c r="C164" t="s">
        <v>428</v>
      </c>
      <c r="D164">
        <v>0.23574999999999999</v>
      </c>
      <c r="E164">
        <v>0.14626001</v>
      </c>
      <c r="F164">
        <v>0.31276999999999999</v>
      </c>
      <c r="G164">
        <v>1540099968</v>
      </c>
      <c r="H164">
        <v>0.248</v>
      </c>
      <c r="I164">
        <v>0.19938</v>
      </c>
      <c r="J164">
        <v>2564100096</v>
      </c>
      <c r="K164">
        <v>3401800000</v>
      </c>
      <c r="L164">
        <v>803724992</v>
      </c>
      <c r="M164">
        <v>75.67</v>
      </c>
      <c r="N164">
        <v>0.27400000000000002</v>
      </c>
      <c r="O164">
        <v>2.4350000000000001</v>
      </c>
      <c r="P164">
        <v>0.10037</v>
      </c>
      <c r="Q164">
        <v>79.179000000000002</v>
      </c>
      <c r="R164">
        <v>0.26711000000000001</v>
      </c>
      <c r="S164">
        <v>1241400064</v>
      </c>
      <c r="T164">
        <v>5050899968</v>
      </c>
      <c r="U164">
        <v>10876300288</v>
      </c>
      <c r="V164">
        <v>2.073</v>
      </c>
      <c r="W164" t="s">
        <v>40</v>
      </c>
      <c r="X164">
        <v>18.190999999999999</v>
      </c>
      <c r="Y164">
        <v>1.51</v>
      </c>
      <c r="Z164" t="s">
        <v>42</v>
      </c>
      <c r="AA164" t="s">
        <v>430</v>
      </c>
      <c r="AB164">
        <v>4.5430000000000001</v>
      </c>
      <c r="AC164">
        <v>19.271000000000001</v>
      </c>
      <c r="AD164">
        <v>2.67</v>
      </c>
      <c r="AE164">
        <v>598028032</v>
      </c>
      <c r="AF164">
        <v>9.9499999999999993</v>
      </c>
      <c r="AG164">
        <v>2.38</v>
      </c>
      <c r="AH164">
        <v>7.6050253000000003</v>
      </c>
      <c r="AI164">
        <v>5.5999999999999999E-3</v>
      </c>
      <c r="AJ164">
        <v>49412014080</v>
      </c>
      <c r="AK164">
        <v>0.30299999999999999</v>
      </c>
      <c r="AL164">
        <v>2.5</v>
      </c>
      <c r="AM164">
        <v>28.340821999999999</v>
      </c>
      <c r="AN164">
        <v>45252780032</v>
      </c>
    </row>
    <row r="165" spans="1:40" x14ac:dyDescent="0.3">
      <c r="A165" s="1">
        <v>176</v>
      </c>
      <c r="B165" t="s">
        <v>431</v>
      </c>
      <c r="C165" t="s">
        <v>119</v>
      </c>
      <c r="D165">
        <v>0.31042999999999998</v>
      </c>
      <c r="E165">
        <v>0.23297001000000001</v>
      </c>
      <c r="F165">
        <v>0.89552003000000002</v>
      </c>
      <c r="G165">
        <v>1020622976</v>
      </c>
      <c r="H165">
        <v>0.126</v>
      </c>
      <c r="I165">
        <v>0.26149</v>
      </c>
      <c r="J165">
        <v>923560000</v>
      </c>
      <c r="K165">
        <v>2377393000</v>
      </c>
      <c r="L165">
        <v>797867264</v>
      </c>
      <c r="M165">
        <v>158.84</v>
      </c>
      <c r="N165">
        <v>8.5999999999999993E-2</v>
      </c>
      <c r="O165">
        <v>1.7010000000000001</v>
      </c>
      <c r="P165">
        <v>0.1164</v>
      </c>
      <c r="Q165">
        <v>13.202</v>
      </c>
      <c r="R165">
        <v>0.27576000000000001</v>
      </c>
      <c r="S165">
        <v>1013819008</v>
      </c>
      <c r="T165">
        <v>347384992</v>
      </c>
      <c r="U165">
        <v>2975117056</v>
      </c>
      <c r="V165">
        <v>3.6579999999999999</v>
      </c>
      <c r="W165" t="s">
        <v>40</v>
      </c>
      <c r="X165">
        <v>10.869</v>
      </c>
      <c r="Y165">
        <v>1.4870000000000001</v>
      </c>
      <c r="Z165" t="s">
        <v>42</v>
      </c>
      <c r="AA165" t="s">
        <v>432</v>
      </c>
      <c r="AB165">
        <v>16.385000000000002</v>
      </c>
      <c r="AC165">
        <v>52.783000000000001</v>
      </c>
      <c r="AD165">
        <v>3.56</v>
      </c>
      <c r="AE165">
        <v>277140992</v>
      </c>
      <c r="AF165">
        <v>9.4939999999999998</v>
      </c>
      <c r="AG165">
        <v>2.48</v>
      </c>
      <c r="AH165">
        <v>16.730566</v>
      </c>
      <c r="AI165">
        <v>1.2920001E-2</v>
      </c>
      <c r="AJ165">
        <v>48747806720</v>
      </c>
      <c r="AK165">
        <v>9.0999999999999998E-2</v>
      </c>
      <c r="AL165">
        <v>3.28</v>
      </c>
      <c r="AM165">
        <v>44.617977000000003</v>
      </c>
      <c r="AN165">
        <v>44021075968</v>
      </c>
    </row>
    <row r="166" spans="1:40" x14ac:dyDescent="0.3">
      <c r="A166" s="1">
        <v>177</v>
      </c>
      <c r="B166" t="s">
        <v>433</v>
      </c>
      <c r="C166" t="s">
        <v>357</v>
      </c>
      <c r="D166">
        <v>0.18004998999999999</v>
      </c>
      <c r="E166">
        <v>0.12445000000000001</v>
      </c>
      <c r="F166">
        <v>0.39439000000000002</v>
      </c>
      <c r="H166">
        <v>-0.11</v>
      </c>
      <c r="I166">
        <v>0.17818001</v>
      </c>
      <c r="J166">
        <v>11175000064</v>
      </c>
      <c r="K166">
        <v>24478000000</v>
      </c>
      <c r="M166">
        <v>120.86</v>
      </c>
      <c r="N166">
        <v>0.52700000000000002</v>
      </c>
      <c r="O166">
        <v>1.2649999999999999</v>
      </c>
      <c r="P166">
        <v>7.3600000000000002E-3</v>
      </c>
      <c r="Q166">
        <v>54.392000000000003</v>
      </c>
      <c r="R166">
        <v>0.118090004</v>
      </c>
      <c r="S166">
        <v>28345999360</v>
      </c>
      <c r="T166">
        <v>34054000640</v>
      </c>
      <c r="U166">
        <v>62065000448</v>
      </c>
      <c r="V166">
        <v>75.328000000000003</v>
      </c>
      <c r="W166" t="s">
        <v>40</v>
      </c>
      <c r="X166">
        <v>160.292</v>
      </c>
      <c r="Y166">
        <v>1.149</v>
      </c>
      <c r="Z166" t="s">
        <v>42</v>
      </c>
      <c r="AA166" t="s">
        <v>434</v>
      </c>
      <c r="AB166">
        <v>0.82</v>
      </c>
      <c r="AC166">
        <v>4.5549999999999997</v>
      </c>
      <c r="AD166">
        <v>12.6</v>
      </c>
      <c r="AE166">
        <v>378000000</v>
      </c>
      <c r="AF166">
        <v>163.315</v>
      </c>
      <c r="AG166">
        <v>18.359000000000002</v>
      </c>
      <c r="AH166">
        <v>0.74004227</v>
      </c>
      <c r="AI166">
        <v>1.0300000000000001E-3</v>
      </c>
      <c r="AJ166">
        <v>50903609344</v>
      </c>
      <c r="AK166">
        <v>0.47499999999999998</v>
      </c>
      <c r="AL166">
        <v>0.95</v>
      </c>
      <c r="AM166">
        <v>9.5920629999999996</v>
      </c>
      <c r="AN166">
        <v>45685080064</v>
      </c>
    </row>
    <row r="167" spans="1:40" x14ac:dyDescent="0.3">
      <c r="A167" s="1">
        <v>178</v>
      </c>
      <c r="B167" t="s">
        <v>435</v>
      </c>
      <c r="C167" t="s">
        <v>245</v>
      </c>
      <c r="D167">
        <v>0.16469998999999999</v>
      </c>
      <c r="E167">
        <v>0.10640000600000001</v>
      </c>
      <c r="F167">
        <v>0.27556999999999998</v>
      </c>
      <c r="G167">
        <v>7482999808</v>
      </c>
      <c r="H167">
        <v>6.4000000000000001E-2</v>
      </c>
      <c r="I167">
        <v>0.13914000000000001</v>
      </c>
      <c r="J167">
        <v>5632999936</v>
      </c>
      <c r="K167">
        <v>8085000000</v>
      </c>
      <c r="L167">
        <v>14152999936</v>
      </c>
      <c r="M167">
        <v>187.75</v>
      </c>
      <c r="N167">
        <v>-0.189</v>
      </c>
      <c r="O167">
        <v>0.36099999999999999</v>
      </c>
      <c r="P167">
        <v>2.5090002E-2</v>
      </c>
      <c r="Q167">
        <v>25.602</v>
      </c>
      <c r="R167">
        <v>0.12922</v>
      </c>
      <c r="S167">
        <v>5571999744</v>
      </c>
      <c r="T167">
        <v>7289999872</v>
      </c>
      <c r="U167">
        <v>34201999360</v>
      </c>
      <c r="V167">
        <v>22.65</v>
      </c>
      <c r="W167" t="s">
        <v>40</v>
      </c>
      <c r="X167">
        <v>136.29</v>
      </c>
      <c r="Y167">
        <v>0.187</v>
      </c>
      <c r="Z167" t="s">
        <v>42</v>
      </c>
      <c r="AA167" t="s">
        <v>436</v>
      </c>
      <c r="AB167">
        <v>1.194</v>
      </c>
      <c r="AC167">
        <v>7.2489999999999997</v>
      </c>
      <c r="AD167">
        <v>12.55</v>
      </c>
      <c r="AE167">
        <v>246008992</v>
      </c>
      <c r="AF167">
        <v>115.748</v>
      </c>
      <c r="AG167">
        <v>14.281000000000001</v>
      </c>
      <c r="AH167">
        <v>1.6220583</v>
      </c>
      <c r="AI167">
        <v>2.7799999999999999E-3</v>
      </c>
      <c r="AJ167">
        <v>40833380352</v>
      </c>
      <c r="AK167">
        <v>-0.2</v>
      </c>
      <c r="AL167">
        <v>1.48</v>
      </c>
      <c r="AM167">
        <v>14.960159000000001</v>
      </c>
      <c r="AN167">
        <v>46188187648</v>
      </c>
    </row>
    <row r="168" spans="1:40" x14ac:dyDescent="0.3">
      <c r="A168" s="1">
        <v>179</v>
      </c>
      <c r="B168" t="s">
        <v>437</v>
      </c>
      <c r="C168" t="s">
        <v>257</v>
      </c>
      <c r="D168">
        <v>0.26346000000000003</v>
      </c>
      <c r="E168">
        <v>0.16469</v>
      </c>
      <c r="F168">
        <v>0.45185999999999998</v>
      </c>
      <c r="G168">
        <v>2082883968</v>
      </c>
      <c r="H168">
        <v>6.4000000000000001E-2</v>
      </c>
      <c r="I168">
        <v>0.22834998000000001</v>
      </c>
      <c r="J168">
        <v>2363595008</v>
      </c>
      <c r="K168">
        <v>4053818000</v>
      </c>
      <c r="L168">
        <v>1174487936</v>
      </c>
      <c r="M168">
        <v>214.37</v>
      </c>
      <c r="N168">
        <v>0.159</v>
      </c>
      <c r="O168">
        <v>0.90100000000000002</v>
      </c>
      <c r="P168">
        <v>0.13102000999999999</v>
      </c>
      <c r="Q168">
        <v>194.98099999999999</v>
      </c>
      <c r="R168">
        <v>0.59370999999999996</v>
      </c>
      <c r="S168">
        <v>329265984</v>
      </c>
      <c r="T168">
        <v>5376084992</v>
      </c>
      <c r="U168">
        <v>8971336704</v>
      </c>
      <c r="V168">
        <v>1.6040000000000001</v>
      </c>
      <c r="W168" t="s">
        <v>40</v>
      </c>
      <c r="X168">
        <v>43.396000000000001</v>
      </c>
      <c r="Y168">
        <v>0.40100000000000002</v>
      </c>
      <c r="Z168" t="s">
        <v>42</v>
      </c>
      <c r="AA168" t="s">
        <v>438</v>
      </c>
      <c r="AB168">
        <v>5.444</v>
      </c>
      <c r="AC168">
        <v>20.664000000000001</v>
      </c>
      <c r="AD168">
        <v>7.52</v>
      </c>
      <c r="AE168">
        <v>145390000</v>
      </c>
      <c r="AF168">
        <v>12.273999999999999</v>
      </c>
      <c r="AG168">
        <v>6.8879999999999999</v>
      </c>
      <c r="AH168">
        <v>17.465374000000001</v>
      </c>
      <c r="AI168">
        <v>2.2799999999999999E-3</v>
      </c>
      <c r="AJ168">
        <v>48841326592</v>
      </c>
      <c r="AK168">
        <v>0.152</v>
      </c>
      <c r="AL168">
        <v>3.01</v>
      </c>
      <c r="AM168">
        <v>28.506648999999999</v>
      </c>
      <c r="AN168">
        <v>44161077248</v>
      </c>
    </row>
    <row r="169" spans="1:40" x14ac:dyDescent="0.3">
      <c r="A169" s="1">
        <v>180</v>
      </c>
      <c r="B169" t="s">
        <v>439</v>
      </c>
      <c r="C169" t="s">
        <v>141</v>
      </c>
      <c r="D169">
        <v>0.14366999999999999</v>
      </c>
      <c r="E169">
        <v>8.652E-2</v>
      </c>
      <c r="F169">
        <v>0.38479000000000002</v>
      </c>
      <c r="G169">
        <v>1282081024</v>
      </c>
      <c r="H169">
        <v>0.22</v>
      </c>
      <c r="I169">
        <v>0.10993</v>
      </c>
      <c r="J169">
        <v>1084304000</v>
      </c>
      <c r="K169">
        <v>2904063000</v>
      </c>
      <c r="L169">
        <v>707905856</v>
      </c>
      <c r="M169">
        <v>1556.37</v>
      </c>
      <c r="N169">
        <v>-0.3</v>
      </c>
      <c r="O169">
        <v>1.581</v>
      </c>
      <c r="P169">
        <v>8.2070000000000004E-2</v>
      </c>
      <c r="Q169">
        <v>153.232</v>
      </c>
      <c r="R169">
        <v>0.30247997999999998</v>
      </c>
      <c r="S169">
        <v>1076318976</v>
      </c>
      <c r="T169">
        <v>3520314112</v>
      </c>
      <c r="U169">
        <v>7547061248</v>
      </c>
      <c r="V169">
        <v>38.396000000000001</v>
      </c>
      <c r="W169" t="s">
        <v>40</v>
      </c>
      <c r="X169">
        <v>268.27300000000002</v>
      </c>
      <c r="Y169">
        <v>1.454</v>
      </c>
      <c r="Z169" t="s">
        <v>42</v>
      </c>
      <c r="AA169" t="s">
        <v>440</v>
      </c>
      <c r="AB169">
        <v>5.2409999999999997</v>
      </c>
      <c r="AC169">
        <v>36.481999999999999</v>
      </c>
      <c r="AD169">
        <v>33.14</v>
      </c>
      <c r="AE169">
        <v>28135400</v>
      </c>
      <c r="AF169">
        <v>82.078000000000003</v>
      </c>
      <c r="AG169">
        <v>24.907</v>
      </c>
      <c r="AH169">
        <v>18.962084000000001</v>
      </c>
      <c r="AI169">
        <v>5.2900000000000004E-3</v>
      </c>
      <c r="AJ169">
        <v>39557173248</v>
      </c>
      <c r="AK169">
        <v>-0.30099999999999999</v>
      </c>
      <c r="AL169">
        <v>1.47</v>
      </c>
      <c r="AM169">
        <v>46.96349</v>
      </c>
      <c r="AN169">
        <v>43789090816</v>
      </c>
    </row>
    <row r="170" spans="1:40" x14ac:dyDescent="0.3">
      <c r="A170" s="1">
        <v>181</v>
      </c>
      <c r="B170" t="s">
        <v>441</v>
      </c>
      <c r="C170" t="s">
        <v>381</v>
      </c>
      <c r="D170">
        <v>0.29409000000000002</v>
      </c>
      <c r="E170">
        <v>4.8060004000000003E-2</v>
      </c>
      <c r="F170">
        <v>0.31258000000000002</v>
      </c>
      <c r="G170">
        <v>4153999872</v>
      </c>
      <c r="H170">
        <v>6.0000000000000001E-3</v>
      </c>
      <c r="I170">
        <v>0.14827000000000001</v>
      </c>
      <c r="J170">
        <v>10243000320</v>
      </c>
      <c r="K170">
        <v>10033000000</v>
      </c>
      <c r="L170">
        <v>-118250000</v>
      </c>
      <c r="M170">
        <v>45.51</v>
      </c>
      <c r="N170">
        <v>1.409</v>
      </c>
      <c r="O170">
        <v>0.94</v>
      </c>
      <c r="P170">
        <v>2.479E-2</v>
      </c>
      <c r="Q170">
        <v>121.723</v>
      </c>
      <c r="R170">
        <v>5.4089999999999999E-2</v>
      </c>
      <c r="S170">
        <v>2956999936</v>
      </c>
      <c r="T170">
        <v>41700999168</v>
      </c>
      <c r="U170">
        <v>34829000704</v>
      </c>
      <c r="V170">
        <v>3.0230000000000001</v>
      </c>
      <c r="W170" t="s">
        <v>40</v>
      </c>
      <c r="X170">
        <v>35.631</v>
      </c>
      <c r="Y170">
        <v>0.52200000000000002</v>
      </c>
      <c r="Z170" t="s">
        <v>42</v>
      </c>
      <c r="AA170" t="s">
        <v>442</v>
      </c>
      <c r="AB170">
        <v>2.2839999999999998</v>
      </c>
      <c r="AC170">
        <v>7.7670000000000003</v>
      </c>
      <c r="AD170">
        <v>3.32</v>
      </c>
      <c r="AE170">
        <v>978318016</v>
      </c>
      <c r="AF170">
        <v>34.600999999999999</v>
      </c>
      <c r="AG170">
        <v>1.71</v>
      </c>
      <c r="AH170">
        <v>1.3152798000000001</v>
      </c>
      <c r="AI170">
        <v>2.7899999999999999E-3</v>
      </c>
      <c r="AJ170">
        <v>79556526080</v>
      </c>
      <c r="AK170">
        <v>1.401</v>
      </c>
      <c r="AL170">
        <v>-43.47</v>
      </c>
      <c r="AM170">
        <v>13.707831000000001</v>
      </c>
      <c r="AN170">
        <v>44523249664</v>
      </c>
    </row>
    <row r="171" spans="1:40" x14ac:dyDescent="0.3">
      <c r="A171" s="1">
        <v>182</v>
      </c>
      <c r="B171" t="s">
        <v>443</v>
      </c>
      <c r="C171" t="s">
        <v>57</v>
      </c>
      <c r="D171">
        <v>0.42808997999999998</v>
      </c>
      <c r="E171">
        <v>0.14954000000000001</v>
      </c>
      <c r="F171">
        <v>0.64496005000000001</v>
      </c>
      <c r="G171">
        <v>2544199936</v>
      </c>
      <c r="H171">
        <v>0.3</v>
      </c>
      <c r="I171">
        <v>0.25147000000000003</v>
      </c>
      <c r="J171">
        <v>2758500096</v>
      </c>
      <c r="K171">
        <v>3378800000</v>
      </c>
      <c r="L171">
        <v>2036199936</v>
      </c>
      <c r="M171">
        <v>77.16</v>
      </c>
      <c r="N171">
        <v>8.0229999999999997</v>
      </c>
      <c r="O171">
        <v>1.806</v>
      </c>
      <c r="P171">
        <v>6.2090001999999998E-2</v>
      </c>
      <c r="Q171">
        <v>136.19</v>
      </c>
      <c r="R171">
        <v>0.17362</v>
      </c>
      <c r="S171">
        <v>315500000</v>
      </c>
      <c r="T171">
        <v>7903499776</v>
      </c>
      <c r="U171">
        <v>6443800064</v>
      </c>
      <c r="V171">
        <v>0.56699999999999995</v>
      </c>
      <c r="W171" t="s">
        <v>40</v>
      </c>
      <c r="X171">
        <v>11.736000000000001</v>
      </c>
      <c r="Y171">
        <v>1.022</v>
      </c>
      <c r="Z171" t="s">
        <v>42</v>
      </c>
      <c r="AA171" t="s">
        <v>444</v>
      </c>
      <c r="AB171">
        <v>7.3259999999999996</v>
      </c>
      <c r="AC171">
        <v>17.114000000000001</v>
      </c>
      <c r="AD171">
        <v>4.91</v>
      </c>
      <c r="AE171">
        <v>554870976</v>
      </c>
      <c r="AF171">
        <v>10.278</v>
      </c>
      <c r="AG171">
        <v>1.143</v>
      </c>
      <c r="AH171">
        <v>7.5072975</v>
      </c>
      <c r="AI171">
        <v>2.001E-2</v>
      </c>
      <c r="AJ171">
        <v>47207899136</v>
      </c>
      <c r="AK171">
        <v>8.7460000000000004</v>
      </c>
      <c r="AL171">
        <v>1.08</v>
      </c>
      <c r="AM171">
        <v>15.714869</v>
      </c>
      <c r="AN171">
        <v>42813845504</v>
      </c>
    </row>
    <row r="172" spans="1:40" x14ac:dyDescent="0.3">
      <c r="A172" s="1">
        <v>183</v>
      </c>
      <c r="B172" t="s">
        <v>445</v>
      </c>
      <c r="C172" t="s">
        <v>428</v>
      </c>
      <c r="D172">
        <v>0.23471001</v>
      </c>
      <c r="E172">
        <v>0.16072</v>
      </c>
      <c r="F172">
        <v>0.32741999999999999</v>
      </c>
      <c r="G172">
        <v>2568000000</v>
      </c>
      <c r="H172">
        <v>8.4000000000000005E-2</v>
      </c>
      <c r="I172">
        <v>0.18345</v>
      </c>
      <c r="J172">
        <v>3572000000</v>
      </c>
      <c r="K172">
        <v>4887000000</v>
      </c>
      <c r="L172">
        <v>1404875008</v>
      </c>
      <c r="M172">
        <v>132.24</v>
      </c>
      <c r="N172">
        <v>0.496</v>
      </c>
      <c r="O172">
        <v>1.6950000000000001</v>
      </c>
      <c r="P172">
        <v>8.3739995999999997E-2</v>
      </c>
      <c r="Q172">
        <v>36.386000000000003</v>
      </c>
      <c r="R172">
        <v>0.23186999999999999</v>
      </c>
      <c r="S172">
        <v>990000000</v>
      </c>
      <c r="T172">
        <v>4048999936</v>
      </c>
      <c r="U172">
        <v>15219000320</v>
      </c>
      <c r="V172">
        <v>3.0409999999999999</v>
      </c>
      <c r="W172" t="s">
        <v>40</v>
      </c>
      <c r="X172">
        <v>46.258000000000003</v>
      </c>
      <c r="Y172">
        <v>0.89700000000000002</v>
      </c>
      <c r="Z172" t="s">
        <v>42</v>
      </c>
      <c r="AA172" t="s">
        <v>446</v>
      </c>
      <c r="AB172">
        <v>3.234</v>
      </c>
      <c r="AC172">
        <v>13.778</v>
      </c>
      <c r="AD172">
        <v>7.91</v>
      </c>
      <c r="AE172">
        <v>326312992</v>
      </c>
      <c r="AF172">
        <v>32.515999999999998</v>
      </c>
      <c r="AG172">
        <v>6.7880000000000003</v>
      </c>
      <c r="AH172">
        <v>4.0669209999999998</v>
      </c>
      <c r="AI172">
        <v>2.0400000000000001E-3</v>
      </c>
      <c r="AJ172">
        <v>49216360448</v>
      </c>
      <c r="AK172">
        <v>0.48599999999999999</v>
      </c>
      <c r="AL172">
        <v>1.6</v>
      </c>
      <c r="AM172">
        <v>16.718078999999999</v>
      </c>
      <c r="AN172">
        <v>43151630336</v>
      </c>
    </row>
    <row r="173" spans="1:40" x14ac:dyDescent="0.3">
      <c r="A173" s="1">
        <v>184</v>
      </c>
      <c r="B173" t="s">
        <v>448</v>
      </c>
      <c r="C173" t="s">
        <v>447</v>
      </c>
      <c r="D173">
        <v>0.32639000000000001</v>
      </c>
      <c r="E173">
        <v>0.28300999999999998</v>
      </c>
      <c r="F173">
        <v>0.63946999999999998</v>
      </c>
      <c r="G173">
        <v>977544000</v>
      </c>
      <c r="H173">
        <v>0.23699999999999999</v>
      </c>
      <c r="I173">
        <v>0.30818000000000001</v>
      </c>
      <c r="J173">
        <v>904768000</v>
      </c>
      <c r="K173">
        <v>1481886000</v>
      </c>
      <c r="L173">
        <v>596091648</v>
      </c>
      <c r="M173">
        <v>138.4</v>
      </c>
      <c r="N173">
        <v>0.32500000000000001</v>
      </c>
      <c r="O173">
        <v>5.0640000000000001</v>
      </c>
      <c r="P173">
        <v>0.10855999600000001</v>
      </c>
      <c r="Q173">
        <v>1.5940000000000001</v>
      </c>
      <c r="R173">
        <v>0.22579001000000001</v>
      </c>
      <c r="S173">
        <v>3386480896</v>
      </c>
      <c r="T173">
        <v>61628000</v>
      </c>
      <c r="U173">
        <v>2772059904</v>
      </c>
      <c r="V173">
        <v>11.021000000000001</v>
      </c>
      <c r="W173" t="s">
        <v>40</v>
      </c>
      <c r="X173">
        <v>9.0739999999999998</v>
      </c>
      <c r="Y173">
        <v>4.2329999999999997</v>
      </c>
      <c r="Z173" t="s">
        <v>42</v>
      </c>
      <c r="AA173" t="s">
        <v>449</v>
      </c>
      <c r="AB173">
        <v>14.170999999999999</v>
      </c>
      <c r="AC173">
        <v>43.417999999999999</v>
      </c>
      <c r="AD173">
        <v>3.44</v>
      </c>
      <c r="AE173">
        <v>307300000</v>
      </c>
      <c r="AF173">
        <v>12.568</v>
      </c>
      <c r="AG173">
        <v>2.4630000000000001</v>
      </c>
      <c r="AH173">
        <v>11.012093999999999</v>
      </c>
      <c r="AI173">
        <v>0.26640999999999998</v>
      </c>
      <c r="AJ173">
        <v>39283089408</v>
      </c>
      <c r="AK173">
        <v>0.33200000000000002</v>
      </c>
      <c r="AL173">
        <v>2.8</v>
      </c>
      <c r="AM173">
        <v>40.232554999999998</v>
      </c>
      <c r="AN173">
        <v>42530316288</v>
      </c>
    </row>
    <row r="174" spans="1:40" x14ac:dyDescent="0.3">
      <c r="A174" s="1">
        <v>185</v>
      </c>
      <c r="B174" t="s">
        <v>450</v>
      </c>
      <c r="C174" t="s">
        <v>108</v>
      </c>
      <c r="D174">
        <v>0.17302000000000001</v>
      </c>
      <c r="E174">
        <v>5.6660000000000002E-2</v>
      </c>
      <c r="F174">
        <v>0.33207999999999999</v>
      </c>
      <c r="G174">
        <v>3000000000</v>
      </c>
      <c r="H174">
        <v>0.217</v>
      </c>
      <c r="I174">
        <v>9.3310006000000001E-2</v>
      </c>
      <c r="J174">
        <v>2342000128</v>
      </c>
      <c r="K174">
        <v>3859000000</v>
      </c>
      <c r="L174">
        <v>2491500032</v>
      </c>
      <c r="M174">
        <v>224.76</v>
      </c>
      <c r="N174">
        <v>1.577</v>
      </c>
      <c r="O174">
        <v>0.93500000000000005</v>
      </c>
      <c r="P174">
        <v>3.2980002000000001E-2</v>
      </c>
      <c r="Q174">
        <v>215.011</v>
      </c>
      <c r="R174">
        <v>0.13120000000000001</v>
      </c>
      <c r="S174">
        <v>1574000000</v>
      </c>
      <c r="T174">
        <v>12533000192</v>
      </c>
      <c r="U174">
        <v>13536000000</v>
      </c>
      <c r="V174">
        <v>8.2390000000000008</v>
      </c>
      <c r="W174" t="s">
        <v>40</v>
      </c>
      <c r="X174">
        <v>70.703000000000003</v>
      </c>
      <c r="Y174">
        <v>0.81699999999999995</v>
      </c>
      <c r="Z174" t="s">
        <v>42</v>
      </c>
      <c r="AA174" t="s">
        <v>451</v>
      </c>
      <c r="AB174">
        <v>4.5940000000000003</v>
      </c>
      <c r="AC174">
        <v>26.553999999999998</v>
      </c>
      <c r="AD174">
        <v>10.15</v>
      </c>
      <c r="AE174">
        <v>191040000</v>
      </c>
      <c r="AF174">
        <v>30.501999999999999</v>
      </c>
      <c r="AG174">
        <v>3.9289999999999998</v>
      </c>
      <c r="AH174">
        <v>7.3686967000000001</v>
      </c>
      <c r="AI174">
        <v>7.11E-3</v>
      </c>
      <c r="AJ174">
        <v>62190063616</v>
      </c>
      <c r="AK174">
        <v>1.5840000000000001</v>
      </c>
      <c r="AL174">
        <v>1.36</v>
      </c>
      <c r="AM174">
        <v>22.143843</v>
      </c>
      <c r="AN174">
        <v>42938150912</v>
      </c>
    </row>
    <row r="175" spans="1:40" x14ac:dyDescent="0.3">
      <c r="A175" s="1">
        <v>186</v>
      </c>
      <c r="B175" t="s">
        <v>453</v>
      </c>
      <c r="C175" t="s">
        <v>452</v>
      </c>
      <c r="D175">
        <v>0.72221999999999997</v>
      </c>
      <c r="E175">
        <v>0.41</v>
      </c>
      <c r="F175">
        <v>0.81382005999999996</v>
      </c>
      <c r="G175">
        <v>3647547904</v>
      </c>
      <c r="H175">
        <v>0.222</v>
      </c>
      <c r="I175">
        <v>0.46392</v>
      </c>
      <c r="J175">
        <v>3554486016</v>
      </c>
      <c r="K175">
        <v>3716888000</v>
      </c>
      <c r="L175">
        <v>1841499392</v>
      </c>
      <c r="M175">
        <v>130.16999999999999</v>
      </c>
      <c r="N175">
        <v>3.3380000000000001</v>
      </c>
      <c r="O175">
        <v>0.39400000000000002</v>
      </c>
      <c r="P175">
        <v>4.3499999999999997E-2</v>
      </c>
      <c r="Q175">
        <v>589.32000000000005</v>
      </c>
      <c r="R175">
        <v>0.69601995000000005</v>
      </c>
      <c r="S175">
        <v>438423008</v>
      </c>
      <c r="T175">
        <v>26093443072</v>
      </c>
      <c r="U175">
        <v>4921619968</v>
      </c>
      <c r="V175">
        <v>1.3340000000000001</v>
      </c>
      <c r="W175" t="s">
        <v>40</v>
      </c>
      <c r="X175">
        <v>15.116</v>
      </c>
      <c r="Y175">
        <v>0.36799999999999999</v>
      </c>
      <c r="Z175" t="s">
        <v>42</v>
      </c>
      <c r="AA175" t="s">
        <v>454</v>
      </c>
      <c r="AB175">
        <v>16.317</v>
      </c>
      <c r="AC175">
        <v>22.593</v>
      </c>
      <c r="AD175">
        <v>6.09</v>
      </c>
      <c r="AE175">
        <v>328611008</v>
      </c>
      <c r="AF175">
        <v>10.151999999999999</v>
      </c>
      <c r="AG175">
        <v>6.1769999999999996</v>
      </c>
      <c r="AH175">
        <v>12.822103500000001</v>
      </c>
      <c r="AI175">
        <v>4.8700000000000002E-3</v>
      </c>
      <c r="AJ175">
        <v>80304832512</v>
      </c>
      <c r="AK175">
        <v>3.6389999999999998</v>
      </c>
      <c r="AL175">
        <v>2.94</v>
      </c>
      <c r="AM175">
        <v>21.374383999999999</v>
      </c>
      <c r="AN175">
        <v>42776334336</v>
      </c>
    </row>
    <row r="176" spans="1:40" x14ac:dyDescent="0.3">
      <c r="A176" s="1">
        <v>187</v>
      </c>
      <c r="B176" t="s">
        <v>456</v>
      </c>
      <c r="C176" t="s">
        <v>455</v>
      </c>
      <c r="D176">
        <v>0.23546</v>
      </c>
      <c r="E176">
        <v>0.155</v>
      </c>
      <c r="F176">
        <v>0.46507999999999999</v>
      </c>
      <c r="G176">
        <v>1381558016</v>
      </c>
      <c r="H176">
        <v>9.4E-2</v>
      </c>
      <c r="I176">
        <v>0.19690000999999999</v>
      </c>
      <c r="J176">
        <v>1749892992</v>
      </c>
      <c r="K176">
        <v>3314651000</v>
      </c>
      <c r="L176">
        <v>829024256</v>
      </c>
      <c r="M176">
        <v>413.32</v>
      </c>
      <c r="N176">
        <v>5.2999999999999999E-2</v>
      </c>
      <c r="O176">
        <v>1.2190000000000001</v>
      </c>
      <c r="P176">
        <v>0.111049995</v>
      </c>
      <c r="Q176">
        <v>73.584999999999994</v>
      </c>
      <c r="R176">
        <v>0.32173002000000001</v>
      </c>
      <c r="S176">
        <v>113170000</v>
      </c>
      <c r="T176">
        <v>2621922048</v>
      </c>
      <c r="U176">
        <v>7431948800</v>
      </c>
      <c r="V176">
        <v>1.0920000000000001</v>
      </c>
      <c r="W176" t="s">
        <v>40</v>
      </c>
      <c r="X176">
        <v>71.233000000000004</v>
      </c>
      <c r="Y176">
        <v>0.54100000000000004</v>
      </c>
      <c r="Z176" t="s">
        <v>42</v>
      </c>
      <c r="AA176" t="s">
        <v>457</v>
      </c>
      <c r="AB176">
        <v>5.9589999999999996</v>
      </c>
      <c r="AC176">
        <v>25.308</v>
      </c>
      <c r="AD176">
        <v>11.98</v>
      </c>
      <c r="AE176">
        <v>103664000</v>
      </c>
      <c r="AF176">
        <v>34.372</v>
      </c>
      <c r="AG176">
        <v>10.702</v>
      </c>
      <c r="AH176">
        <v>12.024903</v>
      </c>
      <c r="AI176">
        <v>0.14829998999999999</v>
      </c>
      <c r="AJ176">
        <v>44285521920</v>
      </c>
      <c r="AK176">
        <v>3.4000000000000002E-2</v>
      </c>
      <c r="AL176">
        <v>3.32</v>
      </c>
      <c r="AM176">
        <v>34.500835000000002</v>
      </c>
      <c r="AN176">
        <v>42846404608</v>
      </c>
    </row>
    <row r="177" spans="1:40" x14ac:dyDescent="0.3">
      <c r="A177" s="1">
        <v>188</v>
      </c>
      <c r="B177" t="s">
        <v>459</v>
      </c>
      <c r="C177" t="s">
        <v>458</v>
      </c>
      <c r="D177">
        <v>0.14008999999999999</v>
      </c>
      <c r="E177">
        <v>0.10668000599999999</v>
      </c>
      <c r="F177">
        <v>0.40844002000000001</v>
      </c>
      <c r="G177">
        <v>2481999872</v>
      </c>
      <c r="H177">
        <v>0.27300000000000002</v>
      </c>
      <c r="I177">
        <v>5.9809998000000003E-2</v>
      </c>
      <c r="J177">
        <v>2155000064</v>
      </c>
      <c r="K177">
        <v>5710000000</v>
      </c>
      <c r="L177">
        <v>1948000000</v>
      </c>
      <c r="M177">
        <v>59.79</v>
      </c>
      <c r="O177">
        <v>1.8120000000000001</v>
      </c>
      <c r="P177">
        <v>1.3890001000000001E-2</v>
      </c>
      <c r="Q177">
        <v>9.9</v>
      </c>
      <c r="R177">
        <v>7.1609995999999995E-2</v>
      </c>
      <c r="S177">
        <v>2881999872</v>
      </c>
      <c r="T177">
        <v>2472999936</v>
      </c>
      <c r="U177">
        <v>15383000064</v>
      </c>
      <c r="V177">
        <v>3.9540000000000002</v>
      </c>
      <c r="W177" t="s">
        <v>40</v>
      </c>
      <c r="X177">
        <v>20.783999999999999</v>
      </c>
      <c r="Y177">
        <v>1.1180000000000001</v>
      </c>
      <c r="Z177" t="s">
        <v>42</v>
      </c>
      <c r="AA177" t="s">
        <v>460</v>
      </c>
      <c r="AB177">
        <v>2.238</v>
      </c>
      <c r="AC177">
        <v>15.974</v>
      </c>
      <c r="AD177">
        <v>2.59</v>
      </c>
      <c r="AE177">
        <v>728908992</v>
      </c>
      <c r="AF177">
        <v>33.878</v>
      </c>
      <c r="AG177">
        <v>2.202</v>
      </c>
      <c r="AH177">
        <v>1.7648623000000001</v>
      </c>
      <c r="AI177">
        <v>1.1900000000000001E-3</v>
      </c>
      <c r="AJ177">
        <v>34424020992</v>
      </c>
      <c r="AL177">
        <v>0.9</v>
      </c>
      <c r="AM177">
        <v>23.084944</v>
      </c>
      <c r="AN177">
        <v>43581468672</v>
      </c>
    </row>
    <row r="178" spans="1:40" x14ac:dyDescent="0.3">
      <c r="A178" s="1">
        <v>189</v>
      </c>
      <c r="B178" t="s">
        <v>462</v>
      </c>
      <c r="C178" t="s">
        <v>461</v>
      </c>
      <c r="D178">
        <v>0.37508999999999998</v>
      </c>
      <c r="E178">
        <v>-6.1000003000000001E-3</v>
      </c>
      <c r="F178">
        <v>0.53286999999999995</v>
      </c>
      <c r="G178">
        <v>2887000064</v>
      </c>
      <c r="H178">
        <v>-4.8000000000000001E-2</v>
      </c>
      <c r="I178">
        <v>0.33722000000000002</v>
      </c>
      <c r="J178">
        <v>3252499968</v>
      </c>
      <c r="K178">
        <v>4574300000</v>
      </c>
      <c r="L178">
        <v>1760274944</v>
      </c>
      <c r="M178">
        <v>229.41</v>
      </c>
      <c r="N178">
        <v>-0.621</v>
      </c>
      <c r="O178">
        <v>1.502</v>
      </c>
      <c r="P178">
        <v>6.8760000000000002E-2</v>
      </c>
      <c r="Q178">
        <v>90.09</v>
      </c>
      <c r="R178">
        <v>-1.1100000999999999E-3</v>
      </c>
      <c r="S178">
        <v>361300000</v>
      </c>
      <c r="T178">
        <v>10402100224</v>
      </c>
      <c r="U178">
        <v>8671200256</v>
      </c>
      <c r="V178">
        <v>1.9259999999999999</v>
      </c>
      <c r="W178" t="s">
        <v>40</v>
      </c>
      <c r="X178">
        <v>45.237000000000002</v>
      </c>
      <c r="Y178">
        <v>0.56899999999999995</v>
      </c>
      <c r="Z178" t="s">
        <v>42</v>
      </c>
      <c r="AA178" t="s">
        <v>463</v>
      </c>
      <c r="AB178">
        <v>5.8</v>
      </c>
      <c r="AC178">
        <v>15.462999999999999</v>
      </c>
      <c r="AD178">
        <v>11.86</v>
      </c>
      <c r="AE178">
        <v>164264000</v>
      </c>
      <c r="AF178">
        <v>59.573</v>
      </c>
      <c r="AG178">
        <v>3.8719999999999999</v>
      </c>
      <c r="AH178">
        <v>3.8509057000000002</v>
      </c>
      <c r="AI178">
        <v>4.4990000000000002E-2</v>
      </c>
      <c r="AJ178">
        <v>50292813824</v>
      </c>
      <c r="AK178">
        <v>-0.63200000000000001</v>
      </c>
      <c r="AL178">
        <v>2.73</v>
      </c>
      <c r="AM178">
        <v>19.343171999999999</v>
      </c>
      <c r="AN178">
        <v>43014148096</v>
      </c>
    </row>
    <row r="179" spans="1:40" x14ac:dyDescent="0.3">
      <c r="A179" s="1">
        <v>190</v>
      </c>
      <c r="B179" t="s">
        <v>464</v>
      </c>
      <c r="C179" t="s">
        <v>360</v>
      </c>
      <c r="D179">
        <v>0.47907</v>
      </c>
      <c r="E179">
        <v>1.899E-2</v>
      </c>
      <c r="F179">
        <v>0.71081000000000005</v>
      </c>
      <c r="G179">
        <v>-160000000</v>
      </c>
      <c r="H179">
        <v>0.93</v>
      </c>
      <c r="I179">
        <v>0.37925997</v>
      </c>
      <c r="J179">
        <v>984000000</v>
      </c>
      <c r="K179">
        <v>980000000</v>
      </c>
      <c r="L179">
        <v>884499968</v>
      </c>
      <c r="M179">
        <v>151.5</v>
      </c>
      <c r="O179">
        <v>1.0269999999999999</v>
      </c>
      <c r="P179">
        <v>3.0009999999999998E-2</v>
      </c>
      <c r="S179">
        <v>1288000000</v>
      </c>
      <c r="T179">
        <v>9731999744</v>
      </c>
      <c r="U179">
        <v>2054000000</v>
      </c>
      <c r="V179">
        <v>4.6210000000000004</v>
      </c>
      <c r="W179" t="s">
        <v>40</v>
      </c>
      <c r="X179">
        <v>7.3949999999999996</v>
      </c>
      <c r="Y179">
        <v>0.877</v>
      </c>
      <c r="Z179" t="s">
        <v>42</v>
      </c>
      <c r="AA179" t="s">
        <v>465</v>
      </c>
      <c r="AB179">
        <v>25.274000000000001</v>
      </c>
      <c r="AC179">
        <v>52.758000000000003</v>
      </c>
      <c r="AD179">
        <v>4.3</v>
      </c>
      <c r="AE179">
        <v>278721984</v>
      </c>
      <c r="AF179">
        <v>-4.0469999999999997</v>
      </c>
      <c r="AG179">
        <v>0.14000000000000001</v>
      </c>
      <c r="AI179">
        <v>1.8749999999999999E-2</v>
      </c>
      <c r="AJ179">
        <v>51913433088</v>
      </c>
      <c r="AL179">
        <v>0.25</v>
      </c>
      <c r="AM179">
        <v>35.232554999999998</v>
      </c>
      <c r="AN179">
        <v>42226380800</v>
      </c>
    </row>
    <row r="180" spans="1:40" x14ac:dyDescent="0.3">
      <c r="A180" s="1">
        <v>191</v>
      </c>
      <c r="B180" t="s">
        <v>467</v>
      </c>
      <c r="C180" t="s">
        <v>466</v>
      </c>
      <c r="D180">
        <v>0.37923000000000001</v>
      </c>
      <c r="E180">
        <v>9.6860000000000002E-2</v>
      </c>
      <c r="F180">
        <v>0.40261000000000002</v>
      </c>
      <c r="G180">
        <v>1247166976</v>
      </c>
      <c r="H180">
        <v>0.19600000000000001</v>
      </c>
      <c r="I180">
        <v>0.15732001000000001</v>
      </c>
      <c r="J180">
        <v>1727367040</v>
      </c>
      <c r="K180">
        <v>1983500000</v>
      </c>
      <c r="L180">
        <v>1917000704</v>
      </c>
      <c r="M180">
        <v>96.22</v>
      </c>
      <c r="N180">
        <v>-0.46100000000000002</v>
      </c>
      <c r="O180">
        <v>1.694</v>
      </c>
      <c r="P180">
        <v>1.3569999500000001E-2</v>
      </c>
      <c r="Q180">
        <v>78.370999999999995</v>
      </c>
      <c r="R180">
        <v>2.614E-2</v>
      </c>
      <c r="S180">
        <v>303982016</v>
      </c>
      <c r="T180">
        <v>14241685504</v>
      </c>
      <c r="U180">
        <v>4554867200</v>
      </c>
      <c r="V180">
        <v>0.69799999999999995</v>
      </c>
      <c r="W180" t="s">
        <v>40</v>
      </c>
      <c r="X180">
        <v>10.843999999999999</v>
      </c>
      <c r="Y180">
        <v>1.0669999999999999</v>
      </c>
      <c r="Z180" t="s">
        <v>42</v>
      </c>
      <c r="AA180" t="s">
        <v>468</v>
      </c>
      <c r="AB180">
        <v>11.77</v>
      </c>
      <c r="AC180">
        <v>31.036999999999999</v>
      </c>
      <c r="AD180">
        <v>1.01</v>
      </c>
      <c r="AE180">
        <v>435275008</v>
      </c>
      <c r="AF180">
        <v>38.741999999999997</v>
      </c>
      <c r="AG180">
        <v>1.0349999999999999</v>
      </c>
      <c r="AH180">
        <v>2.4836094000000002</v>
      </c>
      <c r="AI180">
        <v>1.5700001E-3</v>
      </c>
      <c r="AJ180">
        <v>53611708416</v>
      </c>
      <c r="AK180">
        <v>-0.44800000000000001</v>
      </c>
      <c r="AL180">
        <v>8.58</v>
      </c>
      <c r="AM180">
        <v>95.267330000000001</v>
      </c>
      <c r="AN180">
        <v>41882161152</v>
      </c>
    </row>
    <row r="181" spans="1:40" x14ac:dyDescent="0.3">
      <c r="A181" s="1">
        <v>193</v>
      </c>
      <c r="B181" t="s">
        <v>469</v>
      </c>
      <c r="C181" t="s">
        <v>357</v>
      </c>
      <c r="D181">
        <v>0.24753</v>
      </c>
      <c r="E181">
        <v>0.18766000999999999</v>
      </c>
      <c r="F181">
        <v>0.40601003000000002</v>
      </c>
      <c r="G181">
        <v>5537999872</v>
      </c>
      <c r="H181">
        <v>-7.5999999999999998E-2</v>
      </c>
      <c r="I181">
        <v>0.24571999999999999</v>
      </c>
      <c r="J181">
        <v>5590000128</v>
      </c>
      <c r="K181">
        <v>7821000000</v>
      </c>
      <c r="L181">
        <v>3328875008</v>
      </c>
      <c r="M181">
        <v>65.53</v>
      </c>
      <c r="N181">
        <v>-0.61599999999999999</v>
      </c>
      <c r="O181">
        <v>0.68400000000000005</v>
      </c>
      <c r="P181">
        <v>2.1569999999999999E-2</v>
      </c>
      <c r="Q181">
        <v>32.579000000000001</v>
      </c>
      <c r="R181">
        <v>0.12836</v>
      </c>
      <c r="S181">
        <v>8040999936</v>
      </c>
      <c r="T181">
        <v>10931000320</v>
      </c>
      <c r="U181">
        <v>22582999040</v>
      </c>
      <c r="V181">
        <v>12.154999999999999</v>
      </c>
      <c r="W181" t="s">
        <v>40</v>
      </c>
      <c r="X181">
        <v>33.011000000000003</v>
      </c>
      <c r="Y181">
        <v>0.53800000000000003</v>
      </c>
      <c r="Z181" t="s">
        <v>42</v>
      </c>
      <c r="AA181" t="s">
        <v>470</v>
      </c>
      <c r="AB181">
        <v>1.891</v>
      </c>
      <c r="AC181">
        <v>7.6390000000000002</v>
      </c>
      <c r="AD181">
        <v>5.27</v>
      </c>
      <c r="AE181">
        <v>661528000</v>
      </c>
      <c r="AF181">
        <v>50.62</v>
      </c>
      <c r="AG181">
        <v>6.1669999999999998</v>
      </c>
      <c r="AH181">
        <v>1.2945476</v>
      </c>
      <c r="AI181">
        <v>9.2119999999999994E-2</v>
      </c>
      <c r="AJ181">
        <v>42700767232</v>
      </c>
      <c r="AK181">
        <v>-0.63800000000000001</v>
      </c>
      <c r="AL181">
        <v>2.62</v>
      </c>
      <c r="AM181">
        <v>12.434535</v>
      </c>
      <c r="AN181">
        <v>43349929984</v>
      </c>
    </row>
    <row r="182" spans="1:40" x14ac:dyDescent="0.3">
      <c r="A182" s="1">
        <v>194</v>
      </c>
      <c r="B182" t="s">
        <v>472</v>
      </c>
      <c r="C182" t="s">
        <v>471</v>
      </c>
      <c r="D182">
        <v>4.6109999999999998E-2</v>
      </c>
      <c r="E182">
        <v>1.2930000000000001E-2</v>
      </c>
      <c r="F182">
        <v>0.17948</v>
      </c>
      <c r="G182">
        <v>1344210944</v>
      </c>
      <c r="H182">
        <v>0.41199999999999998</v>
      </c>
      <c r="I182">
        <v>3.3750000000000002E-2</v>
      </c>
      <c r="J182">
        <v>2800523008</v>
      </c>
      <c r="K182">
        <v>9356749000</v>
      </c>
      <c r="L182">
        <v>493255136</v>
      </c>
      <c r="M182">
        <v>80.91</v>
      </c>
      <c r="N182">
        <v>1.52</v>
      </c>
      <c r="O182">
        <v>1.325</v>
      </c>
      <c r="P182">
        <v>5.8349999999999999E-2</v>
      </c>
      <c r="Q182">
        <v>944.60599999999999</v>
      </c>
      <c r="R182">
        <v>0.57828999999999997</v>
      </c>
      <c r="S182">
        <v>1374275968</v>
      </c>
      <c r="T182">
        <v>11843109888</v>
      </c>
      <c r="U182">
        <v>60738232320</v>
      </c>
      <c r="V182">
        <v>2.7080000000000002</v>
      </c>
      <c r="W182" t="s">
        <v>40</v>
      </c>
      <c r="X182">
        <v>118.675</v>
      </c>
      <c r="Y182">
        <v>0.75</v>
      </c>
      <c r="Z182" t="s">
        <v>42</v>
      </c>
      <c r="AA182" t="s">
        <v>473</v>
      </c>
      <c r="AB182">
        <v>0.82199999999999995</v>
      </c>
      <c r="AC182">
        <v>17.838000000000001</v>
      </c>
      <c r="AD182">
        <v>4.21</v>
      </c>
      <c r="AE182">
        <v>512656000</v>
      </c>
      <c r="AF182">
        <v>3.266</v>
      </c>
      <c r="AG182">
        <v>1.3320000000000001</v>
      </c>
      <c r="AH182">
        <v>24.773423999999999</v>
      </c>
      <c r="AI182">
        <v>1E-3</v>
      </c>
      <c r="AJ182">
        <v>49955565568</v>
      </c>
      <c r="AK182">
        <v>1.488</v>
      </c>
      <c r="AL182">
        <v>0.44</v>
      </c>
      <c r="AM182">
        <v>19.218529</v>
      </c>
      <c r="AN182">
        <v>41479000064</v>
      </c>
    </row>
    <row r="183" spans="1:40" x14ac:dyDescent="0.3">
      <c r="A183" s="1">
        <v>195</v>
      </c>
      <c r="B183" t="s">
        <v>475</v>
      </c>
      <c r="C183" t="s">
        <v>474</v>
      </c>
      <c r="D183">
        <v>4.0930000000000001E-2</v>
      </c>
      <c r="E183">
        <v>7.4699995999999999E-3</v>
      </c>
      <c r="F183">
        <v>0.22830998999999999</v>
      </c>
      <c r="G183">
        <v>5709000192</v>
      </c>
      <c r="H183">
        <v>7.1999999999999995E-2</v>
      </c>
      <c r="I183">
        <v>1.9470000000000001E-2</v>
      </c>
      <c r="J183">
        <v>5549000192</v>
      </c>
      <c r="K183">
        <v>31789000000</v>
      </c>
      <c r="L183">
        <v>3747000064</v>
      </c>
      <c r="M183">
        <v>57</v>
      </c>
      <c r="N183">
        <v>-0.2</v>
      </c>
      <c r="O183">
        <v>0.79700000000000004</v>
      </c>
      <c r="P183">
        <v>3.3570003000000001E-2</v>
      </c>
      <c r="Q183">
        <v>218.16499999999999</v>
      </c>
      <c r="R183">
        <v>0.10453</v>
      </c>
      <c r="S183">
        <v>2288000000</v>
      </c>
      <c r="T183">
        <v>20706000896</v>
      </c>
      <c r="U183">
        <v>135577001984</v>
      </c>
      <c r="V183">
        <v>3.1120000000000001</v>
      </c>
      <c r="W183" t="s">
        <v>40</v>
      </c>
      <c r="X183">
        <v>180.649</v>
      </c>
      <c r="Y183">
        <v>0.25</v>
      </c>
      <c r="Z183" t="s">
        <v>42</v>
      </c>
      <c r="AA183" t="s">
        <v>476</v>
      </c>
      <c r="AB183">
        <v>0.377</v>
      </c>
      <c r="AC183">
        <v>9.2200000000000006</v>
      </c>
      <c r="AD183">
        <v>3.39</v>
      </c>
      <c r="AE183">
        <v>735256000</v>
      </c>
      <c r="AF183">
        <v>12.898</v>
      </c>
      <c r="AG183">
        <v>1.325</v>
      </c>
      <c r="AH183">
        <v>4.4192900000000002</v>
      </c>
      <c r="AI183">
        <v>6.6100000000000004E-3</v>
      </c>
      <c r="AJ183">
        <v>51160342528</v>
      </c>
      <c r="AK183">
        <v>-0.23499999999999999</v>
      </c>
      <c r="AL183">
        <v>2.02</v>
      </c>
      <c r="AM183">
        <v>16.814160000000001</v>
      </c>
      <c r="AN183">
        <v>41909592064</v>
      </c>
    </row>
    <row r="184" spans="1:40" x14ac:dyDescent="0.3">
      <c r="A184" s="1">
        <v>196</v>
      </c>
      <c r="B184" t="s">
        <v>477</v>
      </c>
      <c r="C184" t="s">
        <v>93</v>
      </c>
      <c r="D184">
        <v>0.34688999999999998</v>
      </c>
      <c r="E184">
        <v>0.28760000000000002</v>
      </c>
      <c r="F184">
        <v>0.57064999999999999</v>
      </c>
      <c r="G184">
        <v>1342909056</v>
      </c>
      <c r="H184">
        <v>0.13200000000000001</v>
      </c>
      <c r="I184">
        <v>0.33639000000000002</v>
      </c>
      <c r="J184">
        <v>1842898048</v>
      </c>
      <c r="K184">
        <v>2723880000</v>
      </c>
      <c r="L184">
        <v>1066607488</v>
      </c>
      <c r="M184">
        <v>78.7</v>
      </c>
      <c r="N184">
        <v>-3.1E-2</v>
      </c>
      <c r="O184">
        <v>4.702</v>
      </c>
      <c r="P184">
        <v>0.16991000000000001</v>
      </c>
      <c r="Q184">
        <v>0.318</v>
      </c>
      <c r="R184">
        <v>0.28100999999999998</v>
      </c>
      <c r="S184">
        <v>2936737024</v>
      </c>
      <c r="T184">
        <v>19828000</v>
      </c>
      <c r="U184">
        <v>5312590848</v>
      </c>
      <c r="V184">
        <v>5.55</v>
      </c>
      <c r="W184" t="s">
        <v>40</v>
      </c>
      <c r="X184">
        <v>10.053000000000001</v>
      </c>
      <c r="Y184">
        <v>4.0609999999999999</v>
      </c>
      <c r="Z184" t="s">
        <v>42</v>
      </c>
      <c r="AA184" t="s">
        <v>478</v>
      </c>
      <c r="AB184">
        <v>9.1859999999999999</v>
      </c>
      <c r="AC184">
        <v>26.481000000000002</v>
      </c>
      <c r="AD184">
        <v>2.94</v>
      </c>
      <c r="AE184">
        <v>529139008</v>
      </c>
      <c r="AF184">
        <v>11.802</v>
      </c>
      <c r="AG184">
        <v>2.86</v>
      </c>
      <c r="AH184">
        <v>6.668361</v>
      </c>
      <c r="AI184">
        <v>0.28694999999999998</v>
      </c>
      <c r="AJ184">
        <v>48801148928</v>
      </c>
      <c r="AK184">
        <v>-0.03</v>
      </c>
      <c r="AL184">
        <v>2.66</v>
      </c>
      <c r="AM184">
        <v>26.768705000000001</v>
      </c>
      <c r="AN184">
        <v>41643237376</v>
      </c>
    </row>
    <row r="185" spans="1:40" x14ac:dyDescent="0.3">
      <c r="A185" s="1">
        <v>197</v>
      </c>
      <c r="B185" t="s">
        <v>480</v>
      </c>
      <c r="C185" t="s">
        <v>479</v>
      </c>
      <c r="D185">
        <v>0.42869000000000002</v>
      </c>
      <c r="E185">
        <v>0.11464000000000001</v>
      </c>
      <c r="F185">
        <v>0.50287999999999999</v>
      </c>
      <c r="G185">
        <v>5708000256</v>
      </c>
      <c r="H185">
        <v>0.31</v>
      </c>
      <c r="I185">
        <v>0.29294002000000002</v>
      </c>
      <c r="J185">
        <v>6559000064</v>
      </c>
      <c r="K185">
        <v>6680000000</v>
      </c>
      <c r="L185">
        <v>1498875008</v>
      </c>
      <c r="M185">
        <v>19.07</v>
      </c>
      <c r="N185">
        <v>8.4000000000000005E-2</v>
      </c>
      <c r="O185">
        <v>0.46100000000000002</v>
      </c>
      <c r="P185">
        <v>3.9600000000000003E-2</v>
      </c>
      <c r="Q185">
        <v>103.76</v>
      </c>
      <c r="R185">
        <v>5.6539997000000002E-2</v>
      </c>
      <c r="S185">
        <v>229000000</v>
      </c>
      <c r="T185">
        <v>32842999808</v>
      </c>
      <c r="U185">
        <v>15299999744</v>
      </c>
      <c r="V185">
        <v>0.10100000000000001</v>
      </c>
      <c r="W185" t="s">
        <v>40</v>
      </c>
      <c r="X185">
        <v>6.7560000000000002</v>
      </c>
      <c r="Y185">
        <v>0.28499999999999998</v>
      </c>
      <c r="Z185" t="s">
        <v>42</v>
      </c>
      <c r="AA185" t="s">
        <v>481</v>
      </c>
      <c r="AB185">
        <v>4.6609999999999996</v>
      </c>
      <c r="AC185">
        <v>10.872</v>
      </c>
      <c r="AD185">
        <v>1.03</v>
      </c>
      <c r="AE185">
        <v>2267429888</v>
      </c>
      <c r="AF185">
        <v>13.475</v>
      </c>
      <c r="AG185">
        <v>0.76800000000000002</v>
      </c>
      <c r="AH185">
        <v>1.4152133</v>
      </c>
      <c r="AI185">
        <v>0.11602</v>
      </c>
      <c r="AJ185">
        <v>71308918784</v>
      </c>
      <c r="AK185">
        <v>8.7999999999999995E-2</v>
      </c>
      <c r="AL185">
        <v>1.71</v>
      </c>
      <c r="AM185">
        <v>18.514562999999999</v>
      </c>
      <c r="AN185">
        <v>43239886848</v>
      </c>
    </row>
    <row r="186" spans="1:40" x14ac:dyDescent="0.3">
      <c r="A186" s="1">
        <v>198</v>
      </c>
      <c r="B186" t="s">
        <v>483</v>
      </c>
      <c r="C186" t="s">
        <v>482</v>
      </c>
      <c r="D186">
        <v>0.24482000000000001</v>
      </c>
      <c r="E186">
        <v>0.15856999999999999</v>
      </c>
      <c r="F186">
        <v>0.26264998000000001</v>
      </c>
      <c r="G186">
        <v>4111649024</v>
      </c>
      <c r="H186">
        <v>1.093</v>
      </c>
      <c r="I186">
        <v>0.21648000000000001</v>
      </c>
      <c r="J186">
        <v>7682258944</v>
      </c>
      <c r="K186">
        <v>2248909000</v>
      </c>
      <c r="L186">
        <v>901464640</v>
      </c>
      <c r="M186">
        <v>157.62</v>
      </c>
      <c r="N186">
        <v>10.486000000000001</v>
      </c>
      <c r="O186">
        <v>2.5270000000000001</v>
      </c>
      <c r="P186">
        <v>0.19094999000000001</v>
      </c>
      <c r="Q186">
        <v>41.688000000000002</v>
      </c>
      <c r="R186">
        <v>0.42226999999999998</v>
      </c>
      <c r="S186">
        <v>2011539968</v>
      </c>
      <c r="T186">
        <v>5815611904</v>
      </c>
      <c r="U186">
        <v>31379582976</v>
      </c>
      <c r="V186">
        <v>7.0380000000000003</v>
      </c>
      <c r="W186" t="s">
        <v>40</v>
      </c>
      <c r="X186">
        <v>105.23399999999999</v>
      </c>
      <c r="Y186">
        <v>1.2709999999999999</v>
      </c>
      <c r="Z186" t="s">
        <v>42</v>
      </c>
      <c r="AA186" t="s">
        <v>484</v>
      </c>
      <c r="AB186">
        <v>1.204</v>
      </c>
      <c r="AC186">
        <v>4.9189999999999996</v>
      </c>
      <c r="AD186">
        <v>16.72</v>
      </c>
      <c r="AE186">
        <v>285799008</v>
      </c>
      <c r="AF186">
        <v>46.965000000000003</v>
      </c>
      <c r="AG186">
        <v>16.577000000000002</v>
      </c>
      <c r="AH186">
        <v>3.3561160000000001</v>
      </c>
      <c r="AI186">
        <v>4.9699999999999996E-3</v>
      </c>
      <c r="AJ186">
        <v>37790318592</v>
      </c>
      <c r="AK186">
        <v>10.000999999999999</v>
      </c>
      <c r="AL186">
        <v>0.14000000000000001</v>
      </c>
      <c r="AM186">
        <v>9.4270329999999998</v>
      </c>
      <c r="AN186">
        <v>45047640064</v>
      </c>
    </row>
    <row r="187" spans="1:40" x14ac:dyDescent="0.3">
      <c r="A187" s="1">
        <v>199</v>
      </c>
      <c r="B187" t="s">
        <v>485</v>
      </c>
      <c r="C187" t="s">
        <v>327</v>
      </c>
      <c r="D187">
        <v>0.29597000000000001</v>
      </c>
      <c r="E187">
        <v>0.114250004</v>
      </c>
      <c r="F187">
        <v>0.41151001999999998</v>
      </c>
      <c r="G187">
        <v>2786700032</v>
      </c>
      <c r="H187">
        <v>0.14799999999999999</v>
      </c>
      <c r="I187">
        <v>0.18728</v>
      </c>
      <c r="J187">
        <v>3343000064</v>
      </c>
      <c r="K187">
        <v>4648000000</v>
      </c>
      <c r="L187">
        <v>1247537536</v>
      </c>
      <c r="M187">
        <v>131.5</v>
      </c>
      <c r="N187">
        <v>0.34200000000000003</v>
      </c>
      <c r="O187">
        <v>0.70799999999999996</v>
      </c>
      <c r="P187">
        <v>5.4640002999999999E-2</v>
      </c>
      <c r="Q187">
        <v>110.05200000000001</v>
      </c>
      <c r="R187">
        <v>0.14795999000000001</v>
      </c>
      <c r="S187">
        <v>29000000</v>
      </c>
      <c r="T187">
        <v>9882300416</v>
      </c>
      <c r="U187">
        <v>11294999552</v>
      </c>
      <c r="V187">
        <v>9.1999999999999998E-2</v>
      </c>
      <c r="W187" t="s">
        <v>40</v>
      </c>
      <c r="X187">
        <v>35.429000000000002</v>
      </c>
      <c r="Y187">
        <v>0.63600000000000001</v>
      </c>
      <c r="Z187" t="s">
        <v>42</v>
      </c>
      <c r="AA187" t="s">
        <v>486</v>
      </c>
      <c r="AB187">
        <v>4.4569999999999999</v>
      </c>
      <c r="AC187">
        <v>15.06</v>
      </c>
      <c r="AD187">
        <v>4.63</v>
      </c>
      <c r="AE187">
        <v>317095008</v>
      </c>
      <c r="AF187">
        <v>27.939</v>
      </c>
      <c r="AG187">
        <v>3.79</v>
      </c>
      <c r="AH187">
        <v>4.7066827</v>
      </c>
      <c r="AI187">
        <v>1.8500000000000001E-3</v>
      </c>
      <c r="AJ187">
        <v>50344656896</v>
      </c>
      <c r="AK187">
        <v>0.33</v>
      </c>
      <c r="AL187">
        <v>3.12</v>
      </c>
      <c r="AM187">
        <v>28.401727999999999</v>
      </c>
      <c r="AN187">
        <v>41697992704</v>
      </c>
    </row>
    <row r="188" spans="1:40" x14ac:dyDescent="0.3">
      <c r="A188" s="1">
        <v>200</v>
      </c>
      <c r="B188" t="s">
        <v>487</v>
      </c>
      <c r="C188" t="s">
        <v>108</v>
      </c>
      <c r="D188">
        <v>0.27299000000000001</v>
      </c>
      <c r="E188">
        <v>0.19148001000000001</v>
      </c>
      <c r="F188">
        <v>0.53917000000000004</v>
      </c>
      <c r="G188">
        <v>1484999936</v>
      </c>
      <c r="H188">
        <v>0.11899999999999999</v>
      </c>
      <c r="I188">
        <v>0.22219</v>
      </c>
      <c r="J188">
        <v>1724999936</v>
      </c>
      <c r="K188">
        <v>3407000000</v>
      </c>
      <c r="L188">
        <v>1134875008</v>
      </c>
      <c r="M188">
        <v>135.71</v>
      </c>
      <c r="N188">
        <v>1.0349999999999999</v>
      </c>
      <c r="O188">
        <v>2.2240000000000002</v>
      </c>
      <c r="P188">
        <v>8.6319999999999994E-2</v>
      </c>
      <c r="Q188">
        <v>54.017000000000003</v>
      </c>
      <c r="R188">
        <v>0.23582001</v>
      </c>
      <c r="S188">
        <v>1575000064</v>
      </c>
      <c r="T188">
        <v>2911000064</v>
      </c>
      <c r="U188">
        <v>6319000064</v>
      </c>
      <c r="V188">
        <v>5.2149999999999999</v>
      </c>
      <c r="W188" t="s">
        <v>40</v>
      </c>
      <c r="X188">
        <v>20.786000000000001</v>
      </c>
      <c r="Y188">
        <v>1.647</v>
      </c>
      <c r="Z188" t="s">
        <v>42</v>
      </c>
      <c r="AA188" t="s">
        <v>488</v>
      </c>
      <c r="AB188">
        <v>7.1050000000000004</v>
      </c>
      <c r="AC188">
        <v>26.027000000000001</v>
      </c>
      <c r="AD188">
        <v>4.7</v>
      </c>
      <c r="AE188">
        <v>302000992</v>
      </c>
      <c r="AF188">
        <v>17.832000000000001</v>
      </c>
      <c r="AG188">
        <v>3.94</v>
      </c>
      <c r="AH188">
        <v>7.6104754999999997</v>
      </c>
      <c r="AI188">
        <v>2.4599999999999999E-3</v>
      </c>
      <c r="AJ188">
        <v>44896595968</v>
      </c>
      <c r="AK188">
        <v>0.99099999999999999</v>
      </c>
      <c r="AL188">
        <v>2.99</v>
      </c>
      <c r="AM188">
        <v>28.874469999999999</v>
      </c>
      <c r="AN188">
        <v>40984555520</v>
      </c>
    </row>
    <row r="189" spans="1:40" x14ac:dyDescent="0.3">
      <c r="A189" s="1">
        <v>201</v>
      </c>
      <c r="B189" t="s">
        <v>489</v>
      </c>
      <c r="C189" t="s">
        <v>182</v>
      </c>
      <c r="D189">
        <v>0.33678999999999998</v>
      </c>
      <c r="E189">
        <v>0.11572</v>
      </c>
      <c r="F189">
        <v>0.53251000000000004</v>
      </c>
      <c r="G189">
        <v>3660000000</v>
      </c>
      <c r="H189">
        <v>2.141</v>
      </c>
      <c r="I189">
        <v>0.42341000000000001</v>
      </c>
      <c r="J189">
        <v>3507000064</v>
      </c>
      <c r="K189">
        <v>1557000000</v>
      </c>
      <c r="L189">
        <v>1477624960</v>
      </c>
      <c r="M189">
        <v>62.5</v>
      </c>
      <c r="O189">
        <v>1.206</v>
      </c>
      <c r="P189">
        <v>0.17560999999999999</v>
      </c>
      <c r="Q189">
        <v>74.781999999999996</v>
      </c>
      <c r="R189">
        <v>0.20444000000000001</v>
      </c>
      <c r="S189">
        <v>2144000000</v>
      </c>
      <c r="T189">
        <v>6776000000</v>
      </c>
      <c r="U189">
        <v>10412999680</v>
      </c>
      <c r="V189">
        <v>3.1669999999999998</v>
      </c>
      <c r="W189" t="s">
        <v>40</v>
      </c>
      <c r="X189">
        <v>17.582000000000001</v>
      </c>
      <c r="Y189">
        <v>1.0669999999999999</v>
      </c>
      <c r="Z189" t="s">
        <v>42</v>
      </c>
      <c r="AA189" t="s">
        <v>490</v>
      </c>
      <c r="AB189">
        <v>3.637</v>
      </c>
      <c r="AC189">
        <v>10.798</v>
      </c>
      <c r="AD189">
        <v>5.23</v>
      </c>
      <c r="AE189">
        <v>677000000</v>
      </c>
      <c r="AF189">
        <v>13.182</v>
      </c>
      <c r="AG189">
        <v>2.0139999999999998</v>
      </c>
      <c r="AH189">
        <v>4.741314</v>
      </c>
      <c r="AI189">
        <v>8.3599999999999994E-3</v>
      </c>
      <c r="AJ189">
        <v>37867528192</v>
      </c>
      <c r="AL189">
        <v>0.56000000000000005</v>
      </c>
      <c r="AM189">
        <v>11.950286999999999</v>
      </c>
      <c r="AN189">
        <v>42312499200</v>
      </c>
    </row>
    <row r="190" spans="1:40" x14ac:dyDescent="0.3">
      <c r="A190" s="1">
        <v>202</v>
      </c>
      <c r="B190" t="s">
        <v>492</v>
      </c>
      <c r="C190" t="s">
        <v>491</v>
      </c>
      <c r="D190">
        <v>4.1849999999999998E-2</v>
      </c>
      <c r="E190">
        <v>4.7640000000000002E-2</v>
      </c>
      <c r="F190">
        <v>0.21495001</v>
      </c>
      <c r="G190">
        <v>5458999808</v>
      </c>
      <c r="H190">
        <v>7.8E-2</v>
      </c>
      <c r="I190">
        <v>2.9149999999999999E-2</v>
      </c>
      <c r="J190">
        <v>5648999936</v>
      </c>
      <c r="K190">
        <v>28067000000</v>
      </c>
      <c r="L190">
        <v>3559749888</v>
      </c>
      <c r="M190">
        <v>47.12</v>
      </c>
      <c r="O190">
        <v>0.83099999999999996</v>
      </c>
      <c r="P190">
        <v>2.649E-2</v>
      </c>
      <c r="Q190">
        <v>117.569</v>
      </c>
      <c r="R190">
        <v>0.21708</v>
      </c>
      <c r="S190">
        <v>4135000064</v>
      </c>
      <c r="T190">
        <v>39227998208</v>
      </c>
      <c r="U190">
        <v>134971998208</v>
      </c>
      <c r="V190">
        <v>4.79</v>
      </c>
      <c r="W190" t="s">
        <v>40</v>
      </c>
      <c r="X190">
        <v>156.05099999999999</v>
      </c>
      <c r="Y190">
        <v>0.41699999999999998</v>
      </c>
      <c r="Z190" t="s">
        <v>42</v>
      </c>
      <c r="AA190" t="s">
        <v>493</v>
      </c>
      <c r="AB190">
        <v>0.61899999999999999</v>
      </c>
      <c r="AC190">
        <v>14.787000000000001</v>
      </c>
      <c r="AD190">
        <v>5.0999999999999996</v>
      </c>
      <c r="AE190">
        <v>863945024</v>
      </c>
      <c r="AF190">
        <v>27.062000000000001</v>
      </c>
      <c r="AG190">
        <v>2.9329999999999998</v>
      </c>
      <c r="AH190">
        <v>1.7411869</v>
      </c>
      <c r="AI190">
        <v>0.17333001000000001</v>
      </c>
      <c r="AJ190">
        <v>83529465856</v>
      </c>
      <c r="AL190">
        <v>3.7</v>
      </c>
      <c r="AM190">
        <v>9.2392160000000008</v>
      </c>
      <c r="AN190">
        <v>40709087232</v>
      </c>
    </row>
    <row r="191" spans="1:40" x14ac:dyDescent="0.3">
      <c r="A191" s="1">
        <v>203</v>
      </c>
      <c r="B191" t="s">
        <v>494</v>
      </c>
      <c r="C191" t="s">
        <v>447</v>
      </c>
      <c r="D191">
        <v>0.10389</v>
      </c>
      <c r="E191">
        <v>0.10242999999999999</v>
      </c>
      <c r="F191">
        <v>0.21132999999999999</v>
      </c>
      <c r="G191">
        <v>6408999936</v>
      </c>
      <c r="H191">
        <v>9.2999999999999999E-2</v>
      </c>
      <c r="I191">
        <v>9.1529995000000003E-2</v>
      </c>
      <c r="J191">
        <v>6595999744</v>
      </c>
      <c r="K191">
        <v>13417000000</v>
      </c>
      <c r="L191">
        <v>4015124992</v>
      </c>
      <c r="M191">
        <v>39.840000000000003</v>
      </c>
      <c r="N191">
        <v>4.54</v>
      </c>
      <c r="O191">
        <v>0.76200000000000001</v>
      </c>
      <c r="P191">
        <v>9.9110000000000004E-2</v>
      </c>
      <c r="S191">
        <v>4304000000</v>
      </c>
      <c r="T191">
        <v>8801999872</v>
      </c>
      <c r="U191">
        <v>63487000576</v>
      </c>
      <c r="V191">
        <v>3.9750000000000001</v>
      </c>
      <c r="W191" t="s">
        <v>40</v>
      </c>
      <c r="X191">
        <v>52.555</v>
      </c>
      <c r="Y191">
        <v>0.45200000000000001</v>
      </c>
      <c r="Z191" t="s">
        <v>42</v>
      </c>
      <c r="AA191" t="s">
        <v>495</v>
      </c>
      <c r="AB191">
        <v>0.71</v>
      </c>
      <c r="AC191">
        <v>6.8360000000000003</v>
      </c>
      <c r="AD191">
        <v>4.38</v>
      </c>
      <c r="AE191">
        <v>1082720000</v>
      </c>
      <c r="AF191">
        <v>-1.5109999999999999</v>
      </c>
      <c r="AG191">
        <v>5.33</v>
      </c>
      <c r="AI191">
        <v>1.7799999999999999E-3</v>
      </c>
      <c r="AJ191">
        <v>45089267712</v>
      </c>
      <c r="AK191">
        <v>3.6389999999999998</v>
      </c>
      <c r="AL191">
        <v>0.54</v>
      </c>
      <c r="AM191">
        <v>9.0958900000000007</v>
      </c>
      <c r="AN191">
        <v>43135565824</v>
      </c>
    </row>
    <row r="192" spans="1:40" x14ac:dyDescent="0.3">
      <c r="A192" s="1">
        <v>204</v>
      </c>
      <c r="B192" t="s">
        <v>496</v>
      </c>
      <c r="C192" t="s">
        <v>74</v>
      </c>
      <c r="D192">
        <v>0.18472</v>
      </c>
      <c r="E192">
        <v>9.3310006000000001E-2</v>
      </c>
      <c r="F192">
        <v>0.31595000000000001</v>
      </c>
      <c r="G192">
        <v>2729999872</v>
      </c>
      <c r="H192">
        <v>2.7E-2</v>
      </c>
      <c r="I192">
        <v>0.14624000000000001</v>
      </c>
      <c r="J192">
        <v>3591000064</v>
      </c>
      <c r="K192">
        <v>6142000000</v>
      </c>
      <c r="L192">
        <v>1321874944</v>
      </c>
      <c r="M192">
        <v>120.28</v>
      </c>
      <c r="N192">
        <v>-0.33700000000000002</v>
      </c>
      <c r="O192">
        <v>0.82499999999999996</v>
      </c>
      <c r="P192">
        <v>0.10050000000000001</v>
      </c>
      <c r="Q192">
        <v>1237.856</v>
      </c>
      <c r="R192">
        <v>2.2963900000000002</v>
      </c>
      <c r="S192">
        <v>270000000</v>
      </c>
      <c r="T192">
        <v>9123000320</v>
      </c>
      <c r="U192">
        <v>19440001024</v>
      </c>
      <c r="V192">
        <v>0.80100000000000005</v>
      </c>
      <c r="W192" t="s">
        <v>40</v>
      </c>
      <c r="X192">
        <v>57.634</v>
      </c>
      <c r="Y192">
        <v>0.36699999999999999</v>
      </c>
      <c r="Z192" t="s">
        <v>42</v>
      </c>
      <c r="AA192" t="s">
        <v>497</v>
      </c>
      <c r="AB192">
        <v>2.6850000000000001</v>
      </c>
      <c r="AC192">
        <v>14.534000000000001</v>
      </c>
      <c r="AD192">
        <v>6.75</v>
      </c>
      <c r="AE192">
        <v>336716992</v>
      </c>
      <c r="AF192">
        <v>1.4079999999999999</v>
      </c>
      <c r="AG192">
        <v>5.8819999999999997</v>
      </c>
      <c r="AH192">
        <v>85.426130000000001</v>
      </c>
      <c r="AI192">
        <v>6.0999999999999997E-4</v>
      </c>
      <c r="AJ192">
        <v>52190924800</v>
      </c>
      <c r="AK192">
        <v>-0.33800000000000002</v>
      </c>
      <c r="AL192">
        <v>-24.22</v>
      </c>
      <c r="AM192">
        <v>17.81926</v>
      </c>
      <c r="AN192">
        <v>40500318208</v>
      </c>
    </row>
    <row r="193" spans="1:40" x14ac:dyDescent="0.3">
      <c r="A193" s="1">
        <v>205</v>
      </c>
      <c r="B193" t="s">
        <v>498</v>
      </c>
      <c r="C193" t="s">
        <v>179</v>
      </c>
      <c r="D193">
        <v>0.57254004000000003</v>
      </c>
      <c r="E193">
        <v>0.35528999999999999</v>
      </c>
      <c r="F193">
        <v>0.82516999999999996</v>
      </c>
      <c r="G193">
        <v>892332992</v>
      </c>
      <c r="H193">
        <v>0.216</v>
      </c>
      <c r="I193">
        <v>0.54005000000000003</v>
      </c>
      <c r="J193">
        <v>1109211008</v>
      </c>
      <c r="K193">
        <v>1403686000</v>
      </c>
      <c r="L193">
        <v>834693632</v>
      </c>
      <c r="M193">
        <v>490.31</v>
      </c>
      <c r="N193">
        <v>-0.06</v>
      </c>
      <c r="O193">
        <v>1.8169999999999999</v>
      </c>
      <c r="P193">
        <v>0.14132</v>
      </c>
      <c r="S193">
        <v>1284664064</v>
      </c>
      <c r="T193">
        <v>4334309888</v>
      </c>
      <c r="U193">
        <v>1937362944</v>
      </c>
      <c r="V193">
        <v>15.582000000000001</v>
      </c>
      <c r="W193" t="s">
        <v>40</v>
      </c>
      <c r="X193">
        <v>23.462</v>
      </c>
      <c r="Y193">
        <v>1.752</v>
      </c>
      <c r="Z193" t="s">
        <v>42</v>
      </c>
      <c r="AA193" t="s">
        <v>499</v>
      </c>
      <c r="AB193">
        <v>26.73</v>
      </c>
      <c r="AC193">
        <v>46.688000000000002</v>
      </c>
      <c r="AD193">
        <v>11.15</v>
      </c>
      <c r="AE193">
        <v>82446704</v>
      </c>
      <c r="AF193">
        <v>-3.3959999999999999</v>
      </c>
      <c r="AG193">
        <v>8.24</v>
      </c>
      <c r="AI193">
        <v>2.9309999999999999E-2</v>
      </c>
      <c r="AJ193">
        <v>51786371072</v>
      </c>
      <c r="AK193">
        <v>-6.8000000000000005E-2</v>
      </c>
      <c r="AL193">
        <v>3.07</v>
      </c>
      <c r="AM193">
        <v>43.973990000000001</v>
      </c>
      <c r="AN193">
        <v>40424443904</v>
      </c>
    </row>
    <row r="194" spans="1:40" x14ac:dyDescent="0.3">
      <c r="A194" s="1">
        <v>206</v>
      </c>
      <c r="B194" t="s">
        <v>500</v>
      </c>
      <c r="C194" t="s">
        <v>479</v>
      </c>
      <c r="D194">
        <v>0.42660999999999999</v>
      </c>
      <c r="E194">
        <v>0.10213</v>
      </c>
      <c r="F194">
        <v>0.52146999999999999</v>
      </c>
      <c r="G194">
        <v>3920000000</v>
      </c>
      <c r="H194">
        <v>0.48</v>
      </c>
      <c r="I194">
        <v>0.24235001</v>
      </c>
      <c r="J194">
        <v>4223000064</v>
      </c>
      <c r="K194">
        <v>4780000000</v>
      </c>
      <c r="L194">
        <v>1547624960</v>
      </c>
      <c r="M194">
        <v>33.880000000000003</v>
      </c>
      <c r="N194">
        <v>-0.48</v>
      </c>
      <c r="O194">
        <v>0.58399999999999996</v>
      </c>
      <c r="P194">
        <v>3.3210002000000002E-2</v>
      </c>
      <c r="Q194">
        <v>160.65799999999999</v>
      </c>
      <c r="R194">
        <v>7.3569999999999997E-2</v>
      </c>
      <c r="S194">
        <v>214000000</v>
      </c>
      <c r="T194">
        <v>22361999360</v>
      </c>
      <c r="U194">
        <v>9898999808</v>
      </c>
      <c r="V194">
        <v>0.17599999999999999</v>
      </c>
      <c r="W194" t="s">
        <v>40</v>
      </c>
      <c r="X194">
        <v>8.1479999999999997</v>
      </c>
      <c r="Y194">
        <v>0.44500000000000001</v>
      </c>
      <c r="Z194" t="s">
        <v>42</v>
      </c>
      <c r="AA194" t="s">
        <v>501</v>
      </c>
      <c r="AB194">
        <v>5.798</v>
      </c>
      <c r="AC194">
        <v>13.590999999999999</v>
      </c>
      <c r="AD194">
        <v>1.28</v>
      </c>
      <c r="AE194">
        <v>1215030016</v>
      </c>
      <c r="AF194">
        <v>9.1950000000000003</v>
      </c>
      <c r="AG194">
        <v>0.82</v>
      </c>
      <c r="AH194">
        <v>3.6846116000000002</v>
      </c>
      <c r="AI194">
        <v>2.0299999000000001E-3</v>
      </c>
      <c r="AJ194">
        <v>57393897472</v>
      </c>
      <c r="AK194">
        <v>-0.46600000000000003</v>
      </c>
      <c r="AL194">
        <v>10.42</v>
      </c>
      <c r="AM194">
        <v>26.468751999999999</v>
      </c>
      <c r="AN194">
        <v>41165217792</v>
      </c>
    </row>
    <row r="195" spans="1:40" x14ac:dyDescent="0.3">
      <c r="A195" s="1">
        <v>207</v>
      </c>
      <c r="B195" t="s">
        <v>502</v>
      </c>
      <c r="C195" t="s">
        <v>408</v>
      </c>
      <c r="D195">
        <v>0.23405000000000001</v>
      </c>
      <c r="E195">
        <v>0.15076000000000001</v>
      </c>
      <c r="F195">
        <v>0.52610000000000001</v>
      </c>
      <c r="G195">
        <v>3612982016</v>
      </c>
      <c r="H195">
        <v>0.16300000000000001</v>
      </c>
      <c r="I195">
        <v>0.20646999999999999</v>
      </c>
      <c r="J195">
        <v>3544508928</v>
      </c>
      <c r="K195">
        <v>7717785000</v>
      </c>
      <c r="L195">
        <v>2687956992</v>
      </c>
      <c r="M195">
        <v>2027.29</v>
      </c>
      <c r="N195">
        <v>0.38</v>
      </c>
      <c r="O195">
        <v>0.78500000000000003</v>
      </c>
      <c r="P195">
        <v>0.13464000000000001</v>
      </c>
      <c r="S195">
        <v>1016644992</v>
      </c>
      <c r="T195">
        <v>8159840768</v>
      </c>
      <c r="U195">
        <v>15144227840</v>
      </c>
      <c r="V195">
        <v>16.422999999999998</v>
      </c>
      <c r="W195" t="s">
        <v>40</v>
      </c>
      <c r="X195">
        <v>698.59100000000001</v>
      </c>
      <c r="Y195">
        <v>0.17299999999999999</v>
      </c>
      <c r="Z195" t="s">
        <v>42</v>
      </c>
      <c r="AA195" t="s">
        <v>503</v>
      </c>
      <c r="AB195">
        <v>8.6329999999999991</v>
      </c>
      <c r="AC195">
        <v>36.883000000000003</v>
      </c>
      <c r="AD195">
        <v>116.8</v>
      </c>
      <c r="AE195">
        <v>20634400</v>
      </c>
      <c r="AF195">
        <v>-102.774</v>
      </c>
      <c r="AG195">
        <v>102.569</v>
      </c>
      <c r="AI195">
        <v>3.7099998000000001E-3</v>
      </c>
      <c r="AJ195">
        <v>130732908544</v>
      </c>
      <c r="AK195">
        <v>0.255</v>
      </c>
      <c r="AL195">
        <v>1.41</v>
      </c>
      <c r="AM195">
        <v>17.356936000000001</v>
      </c>
      <c r="AN195">
        <v>41831915520</v>
      </c>
    </row>
    <row r="196" spans="1:40" x14ac:dyDescent="0.3">
      <c r="A196" s="1">
        <v>208</v>
      </c>
      <c r="B196" t="s">
        <v>504</v>
      </c>
      <c r="C196" t="s">
        <v>402</v>
      </c>
      <c r="D196">
        <v>0.21360999999999999</v>
      </c>
      <c r="E196">
        <v>0.12020001</v>
      </c>
      <c r="F196">
        <v>0.34219002999999998</v>
      </c>
      <c r="G196">
        <v>3054200064</v>
      </c>
      <c r="H196">
        <v>6.5000000000000002E-2</v>
      </c>
      <c r="I196">
        <v>0.18174000000000001</v>
      </c>
      <c r="J196">
        <v>3974799872</v>
      </c>
      <c r="K196">
        <v>6450600000</v>
      </c>
      <c r="L196">
        <v>910187520</v>
      </c>
      <c r="M196">
        <v>67.39</v>
      </c>
      <c r="N196">
        <v>-0.126</v>
      </c>
      <c r="O196">
        <v>0.84599999999999997</v>
      </c>
      <c r="P196">
        <v>6.5240000000000006E-2</v>
      </c>
      <c r="Q196">
        <v>122.245</v>
      </c>
      <c r="R196">
        <v>0.22722999999999999</v>
      </c>
      <c r="S196">
        <v>1021000000</v>
      </c>
      <c r="T196">
        <v>12672300032</v>
      </c>
      <c r="U196">
        <v>18607499264</v>
      </c>
      <c r="V196">
        <v>1.6930000000000001</v>
      </c>
      <c r="W196" t="s">
        <v>40</v>
      </c>
      <c r="X196">
        <v>30.423999999999999</v>
      </c>
      <c r="Y196">
        <v>0.35699999999999998</v>
      </c>
      <c r="Z196" t="s">
        <v>42</v>
      </c>
      <c r="AA196" t="s">
        <v>505</v>
      </c>
      <c r="AB196">
        <v>2.8719999999999999</v>
      </c>
      <c r="AC196">
        <v>13.446</v>
      </c>
      <c r="AD196">
        <v>3.92</v>
      </c>
      <c r="AE196">
        <v>603206976</v>
      </c>
      <c r="AF196">
        <v>15.79</v>
      </c>
      <c r="AG196">
        <v>3.6280000000000001</v>
      </c>
      <c r="AH196">
        <v>4.2678909999999997</v>
      </c>
      <c r="AI196">
        <v>1.5700001E-3</v>
      </c>
      <c r="AJ196">
        <v>53444804608</v>
      </c>
      <c r="AK196">
        <v>-0.13200000000000001</v>
      </c>
      <c r="AL196">
        <v>3.89</v>
      </c>
      <c r="AM196">
        <v>17.191326</v>
      </c>
      <c r="AN196">
        <v>40650117120</v>
      </c>
    </row>
    <row r="197" spans="1:40" x14ac:dyDescent="0.3">
      <c r="A197" s="1">
        <v>209</v>
      </c>
      <c r="B197" t="s">
        <v>506</v>
      </c>
      <c r="C197" t="s">
        <v>348</v>
      </c>
      <c r="D197">
        <v>0.14182</v>
      </c>
      <c r="E197">
        <v>6.8199999999999997E-3</v>
      </c>
      <c r="F197">
        <v>0.19983000000000001</v>
      </c>
      <c r="G197">
        <v>1976999936</v>
      </c>
      <c r="H197">
        <v>8.9999999999999993E-3</v>
      </c>
      <c r="I197">
        <v>8.6289993999999995E-2</v>
      </c>
      <c r="J197">
        <v>2908999936</v>
      </c>
      <c r="K197">
        <v>3445000000</v>
      </c>
      <c r="L197">
        <v>1708375040</v>
      </c>
      <c r="M197">
        <v>38.72</v>
      </c>
      <c r="O197">
        <v>1.5920000000000001</v>
      </c>
      <c r="P197">
        <v>3.0259999999999999E-2</v>
      </c>
      <c r="Q197">
        <v>39.704000000000001</v>
      </c>
      <c r="R197">
        <v>1.6629999999999999E-2</v>
      </c>
      <c r="S197">
        <v>4328999936</v>
      </c>
      <c r="T197">
        <v>6764000256</v>
      </c>
      <c r="U197">
        <v>20512000000</v>
      </c>
      <c r="V197">
        <v>4.976</v>
      </c>
      <c r="W197" t="s">
        <v>40</v>
      </c>
      <c r="X197">
        <v>26.373999999999999</v>
      </c>
      <c r="Y197">
        <v>1.032</v>
      </c>
      <c r="Z197" t="s">
        <v>42</v>
      </c>
      <c r="AA197" t="s">
        <v>507</v>
      </c>
      <c r="AB197">
        <v>1.345</v>
      </c>
      <c r="AC197">
        <v>9.4849999999999994</v>
      </c>
      <c r="AD197">
        <v>1.21</v>
      </c>
      <c r="AE197">
        <v>869968000</v>
      </c>
      <c r="AF197">
        <v>16.463000000000001</v>
      </c>
      <c r="AG197">
        <v>0.18</v>
      </c>
      <c r="AH197">
        <v>2.3519408999999998</v>
      </c>
      <c r="AI197">
        <v>6.1680003999999997E-2</v>
      </c>
      <c r="AJ197">
        <v>27591483392</v>
      </c>
      <c r="AL197">
        <v>0.11</v>
      </c>
      <c r="AM197">
        <v>32</v>
      </c>
      <c r="AN197">
        <v>33685161984</v>
      </c>
    </row>
    <row r="198" spans="1:40" x14ac:dyDescent="0.3">
      <c r="A198" s="1">
        <v>210</v>
      </c>
      <c r="B198" t="s">
        <v>508</v>
      </c>
      <c r="C198" t="s">
        <v>452</v>
      </c>
      <c r="D198">
        <v>0.84133005000000005</v>
      </c>
      <c r="E198">
        <v>0.17267999000000001</v>
      </c>
      <c r="F198">
        <v>0.93581999999999999</v>
      </c>
      <c r="H198">
        <v>0.64100000000000001</v>
      </c>
      <c r="I198">
        <v>0.45790002000000002</v>
      </c>
      <c r="J198">
        <v>1751290112</v>
      </c>
      <c r="K198">
        <v>1947964000</v>
      </c>
      <c r="M198">
        <v>67.95</v>
      </c>
      <c r="N198">
        <v>-0.97599999999999998</v>
      </c>
      <c r="O198">
        <v>0.42799999999999999</v>
      </c>
      <c r="P198">
        <v>1.865E-2</v>
      </c>
      <c r="Q198">
        <v>61.451999999999998</v>
      </c>
      <c r="R198">
        <v>1.9960001000000002E-2</v>
      </c>
      <c r="S198">
        <v>258579008</v>
      </c>
      <c r="T198">
        <v>15442636800</v>
      </c>
      <c r="U198">
        <v>2081569024</v>
      </c>
      <c r="V198">
        <v>0.437</v>
      </c>
      <c r="W198" t="s">
        <v>40</v>
      </c>
      <c r="X198">
        <v>5.0209999999999999</v>
      </c>
      <c r="Y198">
        <v>0.41</v>
      </c>
      <c r="Z198" t="s">
        <v>42</v>
      </c>
      <c r="AA198" t="s">
        <v>509</v>
      </c>
      <c r="AB198">
        <v>26.004999999999999</v>
      </c>
      <c r="AC198">
        <v>30.908999999999999</v>
      </c>
      <c r="AD198">
        <v>1.73</v>
      </c>
      <c r="AE198">
        <v>565764992</v>
      </c>
      <c r="AF198">
        <v>32.991</v>
      </c>
      <c r="AG198">
        <v>1.268</v>
      </c>
      <c r="AH198">
        <v>2.0596526000000002</v>
      </c>
      <c r="AI198">
        <v>1.24E-3</v>
      </c>
      <c r="AJ198">
        <v>54130446336</v>
      </c>
      <c r="AK198">
        <v>-0.96599999999999997</v>
      </c>
      <c r="AL198">
        <v>9.68</v>
      </c>
      <c r="AM198">
        <v>39.277453999999999</v>
      </c>
      <c r="AN198">
        <v>38443728896</v>
      </c>
    </row>
    <row r="199" spans="1:40" x14ac:dyDescent="0.3">
      <c r="A199" s="1">
        <v>211</v>
      </c>
      <c r="B199" t="s">
        <v>510</v>
      </c>
      <c r="C199" t="s">
        <v>425</v>
      </c>
      <c r="D199">
        <v>4.2389999999999997E-2</v>
      </c>
      <c r="E199">
        <v>8.5800000000000008E-3</v>
      </c>
      <c r="F199">
        <v>5.0650000000000001E-2</v>
      </c>
      <c r="G199">
        <v>5858999808</v>
      </c>
      <c r="H199">
        <v>1.2490000000000001</v>
      </c>
      <c r="I199">
        <v>2.0629999999999999E-2</v>
      </c>
      <c r="J199">
        <v>4592000000</v>
      </c>
      <c r="K199">
        <v>5487000000</v>
      </c>
      <c r="L199">
        <v>4284999936</v>
      </c>
      <c r="M199">
        <v>97.25</v>
      </c>
      <c r="O199">
        <v>1.256</v>
      </c>
      <c r="P199">
        <v>2.5479999999999999E-2</v>
      </c>
      <c r="Q199">
        <v>76.322999999999993</v>
      </c>
      <c r="R199">
        <v>6.5280000000000005E-2</v>
      </c>
      <c r="S199">
        <v>4121999872</v>
      </c>
      <c r="T199">
        <v>15125000192</v>
      </c>
      <c r="U199">
        <v>108331999232</v>
      </c>
      <c r="V199">
        <v>10.071</v>
      </c>
      <c r="W199" t="s">
        <v>40</v>
      </c>
      <c r="X199">
        <v>266.17200000000003</v>
      </c>
      <c r="Y199">
        <v>0.86</v>
      </c>
      <c r="Z199" t="s">
        <v>42</v>
      </c>
      <c r="AA199" t="s">
        <v>511</v>
      </c>
      <c r="AB199">
        <v>0.439</v>
      </c>
      <c r="AC199">
        <v>10.362</v>
      </c>
      <c r="AD199">
        <v>5.99</v>
      </c>
      <c r="AE199">
        <v>408836000</v>
      </c>
      <c r="AF199">
        <v>42.747</v>
      </c>
      <c r="AG199">
        <v>-1.0880000000000001</v>
      </c>
      <c r="AH199">
        <v>2.2750134000000002</v>
      </c>
      <c r="AI199">
        <v>4.3200002999999997E-3</v>
      </c>
      <c r="AJ199">
        <v>47581925376</v>
      </c>
      <c r="AL199">
        <v>-4.1500000000000004</v>
      </c>
      <c r="AM199">
        <v>16.235393999999999</v>
      </c>
      <c r="AN199">
        <v>39759302656</v>
      </c>
    </row>
    <row r="200" spans="1:40" x14ac:dyDescent="0.3">
      <c r="A200" s="1">
        <v>212</v>
      </c>
      <c r="B200" t="s">
        <v>513</v>
      </c>
      <c r="C200" t="s">
        <v>512</v>
      </c>
      <c r="D200">
        <v>0.14097999</v>
      </c>
      <c r="E200">
        <v>8.0719990000000005E-2</v>
      </c>
      <c r="F200">
        <v>0.29147000000000001</v>
      </c>
      <c r="G200">
        <v>2236999936</v>
      </c>
      <c r="H200">
        <v>0.11700000000000001</v>
      </c>
      <c r="I200">
        <v>0.12458</v>
      </c>
      <c r="J200">
        <v>2905999872</v>
      </c>
      <c r="K200">
        <v>6008000000</v>
      </c>
      <c r="L200">
        <v>55625000</v>
      </c>
      <c r="M200">
        <v>46.39</v>
      </c>
      <c r="N200">
        <v>-0.629</v>
      </c>
      <c r="O200">
        <v>1.7210000000000001</v>
      </c>
      <c r="P200">
        <v>6.2609999999999999E-2</v>
      </c>
      <c r="Q200">
        <v>145.94</v>
      </c>
      <c r="R200">
        <v>0.24882999</v>
      </c>
      <c r="S200">
        <v>2987000064</v>
      </c>
      <c r="T200">
        <v>10353000448</v>
      </c>
      <c r="U200">
        <v>20612999168</v>
      </c>
      <c r="V200">
        <v>3.4910000000000001</v>
      </c>
      <c r="W200" t="s">
        <v>40</v>
      </c>
      <c r="X200">
        <v>23.756</v>
      </c>
      <c r="Y200">
        <v>0.88900000000000001</v>
      </c>
      <c r="Z200" t="s">
        <v>42</v>
      </c>
      <c r="AA200" t="s">
        <v>514</v>
      </c>
      <c r="AB200">
        <v>2.2679999999999998</v>
      </c>
      <c r="AC200">
        <v>16.085999999999999</v>
      </c>
      <c r="AD200">
        <v>2.34</v>
      </c>
      <c r="AE200">
        <v>866585024</v>
      </c>
      <c r="AF200">
        <v>7.9619999999999997</v>
      </c>
      <c r="AG200">
        <v>2.4929999999999999</v>
      </c>
      <c r="AH200">
        <v>5.8264256000000003</v>
      </c>
      <c r="AI200">
        <v>8.4999999999999995E-4</v>
      </c>
      <c r="AJ200">
        <v>46747213824</v>
      </c>
      <c r="AK200">
        <v>-0.63300000000000001</v>
      </c>
      <c r="AL200">
        <v>1.68</v>
      </c>
      <c r="AM200">
        <v>19.824787000000001</v>
      </c>
      <c r="AN200">
        <v>40200880128</v>
      </c>
    </row>
    <row r="201" spans="1:40" x14ac:dyDescent="0.3">
      <c r="A201" s="1">
        <v>213</v>
      </c>
      <c r="B201" t="s">
        <v>515</v>
      </c>
      <c r="C201" t="s">
        <v>158</v>
      </c>
      <c r="D201">
        <v>0.25208000000000003</v>
      </c>
      <c r="E201">
        <v>0.29224001999999999</v>
      </c>
      <c r="F201">
        <v>0.34960000000000002</v>
      </c>
      <c r="G201">
        <v>2960999936</v>
      </c>
      <c r="H201">
        <v>0.17699999999999999</v>
      </c>
      <c r="I201">
        <v>0.11302</v>
      </c>
      <c r="J201">
        <v>5593999872</v>
      </c>
      <c r="K201">
        <v>6875000000</v>
      </c>
      <c r="L201">
        <v>2501499904</v>
      </c>
      <c r="M201">
        <v>77.09</v>
      </c>
      <c r="O201">
        <v>2.0129999999999999</v>
      </c>
      <c r="P201">
        <v>2.6530001000000001E-2</v>
      </c>
      <c r="Q201">
        <v>40.603000000000002</v>
      </c>
      <c r="R201">
        <v>4.6420000000000003E-2</v>
      </c>
      <c r="S201">
        <v>1670000000</v>
      </c>
      <c r="T201">
        <v>11059999744</v>
      </c>
      <c r="U201">
        <v>22190999552</v>
      </c>
      <c r="V201">
        <v>3.2229999999999999</v>
      </c>
      <c r="W201" t="s">
        <v>40</v>
      </c>
      <c r="X201">
        <v>37.143999999999998</v>
      </c>
      <c r="Y201">
        <v>1.071</v>
      </c>
      <c r="Z201" t="s">
        <v>42</v>
      </c>
      <c r="AA201" t="s">
        <v>516</v>
      </c>
      <c r="AB201">
        <v>2.3780000000000001</v>
      </c>
      <c r="AC201">
        <v>9.4320000000000004</v>
      </c>
      <c r="AD201">
        <v>4.9400000000000004</v>
      </c>
      <c r="AE201">
        <v>518104000</v>
      </c>
      <c r="AF201">
        <v>51.405000000000001</v>
      </c>
      <c r="AG201">
        <v>10.821</v>
      </c>
      <c r="AH201">
        <v>1.4996594999999999</v>
      </c>
      <c r="AI201">
        <v>7.9000000000000001E-4</v>
      </c>
      <c r="AJ201">
        <v>52760289280</v>
      </c>
      <c r="AL201">
        <v>1.25</v>
      </c>
      <c r="AM201">
        <v>15.605262</v>
      </c>
      <c r="AN201">
        <v>39940636672</v>
      </c>
    </row>
    <row r="202" spans="1:40" x14ac:dyDescent="0.3">
      <c r="A202" s="1">
        <v>214</v>
      </c>
      <c r="B202" t="s">
        <v>517</v>
      </c>
      <c r="C202" t="s">
        <v>226</v>
      </c>
      <c r="D202">
        <v>0.22817000000000001</v>
      </c>
      <c r="E202">
        <v>9.7500000000000003E-2</v>
      </c>
      <c r="F202">
        <v>0.40487000000000001</v>
      </c>
      <c r="G202">
        <v>2240999936</v>
      </c>
      <c r="H202">
        <v>8.5000000000000006E-2</v>
      </c>
      <c r="I202">
        <v>0.15925998999999999</v>
      </c>
      <c r="J202">
        <v>2840999936</v>
      </c>
      <c r="K202">
        <v>4733000000</v>
      </c>
      <c r="L202">
        <v>1373750016</v>
      </c>
      <c r="M202">
        <v>77.209999999999994</v>
      </c>
      <c r="N202">
        <v>0.28999999999999998</v>
      </c>
      <c r="O202">
        <v>2.3730000000000002</v>
      </c>
      <c r="P202">
        <v>6.2119998000000003E-2</v>
      </c>
      <c r="Q202">
        <v>73.057000000000002</v>
      </c>
      <c r="R202">
        <v>0.14055000000000001</v>
      </c>
      <c r="S202">
        <v>3257999872</v>
      </c>
      <c r="T202">
        <v>6440000000</v>
      </c>
      <c r="U202">
        <v>12451000320</v>
      </c>
      <c r="V202">
        <v>6.5069999999999997</v>
      </c>
      <c r="W202" t="s">
        <v>40</v>
      </c>
      <c r="X202">
        <v>24.68</v>
      </c>
      <c r="Y202">
        <v>1.58</v>
      </c>
      <c r="Z202" t="s">
        <v>42</v>
      </c>
      <c r="AA202" t="s">
        <v>518</v>
      </c>
      <c r="AB202">
        <v>3.7320000000000002</v>
      </c>
      <c r="AC202">
        <v>16.356000000000002</v>
      </c>
      <c r="AD202">
        <v>4.38</v>
      </c>
      <c r="AE202">
        <v>500692992</v>
      </c>
      <c r="AF202">
        <v>17.516999999999999</v>
      </c>
      <c r="AG202">
        <v>2.3759999999999999</v>
      </c>
      <c r="AH202">
        <v>4.407718</v>
      </c>
      <c r="AI202">
        <v>1.6000000000000001E-3</v>
      </c>
      <c r="AJ202">
        <v>46466883584</v>
      </c>
      <c r="AK202">
        <v>0.26400000000000001</v>
      </c>
      <c r="AL202">
        <v>2.1800000000000002</v>
      </c>
      <c r="AM202">
        <v>17.627853000000002</v>
      </c>
      <c r="AN202">
        <v>38658506752</v>
      </c>
    </row>
    <row r="203" spans="1:40" x14ac:dyDescent="0.3">
      <c r="A203" s="1">
        <v>215</v>
      </c>
      <c r="B203" t="s">
        <v>520</v>
      </c>
      <c r="C203" t="s">
        <v>519</v>
      </c>
      <c r="D203">
        <v>0.50849999999999995</v>
      </c>
      <c r="E203">
        <v>0.38617000000000001</v>
      </c>
      <c r="F203">
        <v>0.59821999999999997</v>
      </c>
      <c r="G203">
        <v>1702227968</v>
      </c>
      <c r="H203">
        <v>8.9999999999999993E-3</v>
      </c>
      <c r="I203">
        <v>0.17126</v>
      </c>
      <c r="J203">
        <v>2250714880</v>
      </c>
      <c r="K203">
        <v>2647845000</v>
      </c>
      <c r="L203">
        <v>1691048832</v>
      </c>
      <c r="M203">
        <v>138.22999999999999</v>
      </c>
      <c r="N203">
        <v>22.542000000000002</v>
      </c>
      <c r="O203">
        <v>0.63100000000000001</v>
      </c>
      <c r="P203">
        <v>1.308E-2</v>
      </c>
      <c r="Q203">
        <v>81.942999999999998</v>
      </c>
      <c r="R203">
        <v>9.4420000000000004E-2</v>
      </c>
      <c r="S203">
        <v>142698000</v>
      </c>
      <c r="T203">
        <v>15178986496</v>
      </c>
      <c r="U203">
        <v>4426165248</v>
      </c>
      <c r="V203">
        <v>0.502</v>
      </c>
      <c r="W203" t="s">
        <v>40</v>
      </c>
      <c r="X203">
        <v>15.669</v>
      </c>
      <c r="Y203">
        <v>0.627</v>
      </c>
      <c r="Z203" t="s">
        <v>42</v>
      </c>
      <c r="AA203" t="s">
        <v>521</v>
      </c>
      <c r="AB203">
        <v>12.428000000000001</v>
      </c>
      <c r="AC203">
        <v>24.440999999999999</v>
      </c>
      <c r="AD203">
        <v>1.55</v>
      </c>
      <c r="AE203">
        <v>283787008</v>
      </c>
      <c r="AF203">
        <v>58.279000000000003</v>
      </c>
      <c r="AG203">
        <v>2.371</v>
      </c>
      <c r="AH203">
        <v>2.3718661999999999</v>
      </c>
      <c r="AI203">
        <v>1.31E-3</v>
      </c>
      <c r="AJ203">
        <v>55009128448</v>
      </c>
      <c r="AK203">
        <v>17.509</v>
      </c>
      <c r="AL203">
        <v>2.77</v>
      </c>
      <c r="AM203">
        <v>89.18065</v>
      </c>
      <c r="AN203">
        <v>39227875328</v>
      </c>
    </row>
    <row r="204" spans="1:40" x14ac:dyDescent="0.3">
      <c r="A204" s="1">
        <v>216</v>
      </c>
      <c r="B204" t="s">
        <v>522</v>
      </c>
      <c r="C204" t="s">
        <v>105</v>
      </c>
      <c r="D204">
        <v>0.28225001999999999</v>
      </c>
      <c r="E204">
        <v>0.15459999999999999</v>
      </c>
      <c r="F204">
        <v>0.49420999999999998</v>
      </c>
      <c r="G204">
        <v>1838000000</v>
      </c>
      <c r="H204">
        <v>0.128</v>
      </c>
      <c r="I204">
        <v>0.22883000000000001</v>
      </c>
      <c r="J204">
        <v>2292999936</v>
      </c>
      <c r="K204">
        <v>3637000000</v>
      </c>
      <c r="L204">
        <v>1544625024</v>
      </c>
      <c r="M204">
        <v>232.4</v>
      </c>
      <c r="N204">
        <v>0.49199999999999999</v>
      </c>
      <c r="O204">
        <v>1.381</v>
      </c>
      <c r="P204">
        <v>0.10668000599999999</v>
      </c>
      <c r="S204">
        <v>1652999936</v>
      </c>
      <c r="T204">
        <v>6138999808</v>
      </c>
      <c r="U204">
        <v>8124000256</v>
      </c>
      <c r="V204">
        <v>9.7870000000000008</v>
      </c>
      <c r="W204" t="s">
        <v>40</v>
      </c>
      <c r="X204">
        <v>47.957000000000001</v>
      </c>
      <c r="Y204">
        <v>1.131</v>
      </c>
      <c r="Z204" t="s">
        <v>42</v>
      </c>
      <c r="AA204" t="s">
        <v>523</v>
      </c>
      <c r="AB204">
        <v>6.0590000000000002</v>
      </c>
      <c r="AC204">
        <v>21.468</v>
      </c>
      <c r="AD204">
        <v>9.8800000000000008</v>
      </c>
      <c r="AE204">
        <v>168896992</v>
      </c>
      <c r="AF204">
        <v>-1.5549999999999999</v>
      </c>
      <c r="AG204">
        <v>7.2450000000000001</v>
      </c>
      <c r="AI204">
        <v>5.5900000000000004E-3</v>
      </c>
      <c r="AJ204">
        <v>49225056256</v>
      </c>
      <c r="AK204">
        <v>0.498</v>
      </c>
      <c r="AL204">
        <v>2.0499999999999998</v>
      </c>
      <c r="AM204">
        <v>23.522265999999998</v>
      </c>
      <c r="AN204">
        <v>39251660800</v>
      </c>
    </row>
    <row r="205" spans="1:40" x14ac:dyDescent="0.3">
      <c r="A205" s="1">
        <v>217</v>
      </c>
      <c r="B205" t="s">
        <v>524</v>
      </c>
      <c r="C205" t="s">
        <v>245</v>
      </c>
      <c r="D205">
        <v>0.15981999999999999</v>
      </c>
      <c r="E205">
        <v>3.1609999999999999E-2</v>
      </c>
      <c r="F205">
        <v>0.27613001999999998</v>
      </c>
      <c r="G205">
        <v>5116000256</v>
      </c>
      <c r="H205">
        <v>0.187</v>
      </c>
      <c r="I205">
        <v>0.13835</v>
      </c>
      <c r="J205">
        <v>8085000192</v>
      </c>
      <c r="K205">
        <v>13969000000</v>
      </c>
      <c r="L205">
        <v>21408124928</v>
      </c>
      <c r="M205">
        <v>141.80000000000001</v>
      </c>
      <c r="N205">
        <v>-0.67600000000000005</v>
      </c>
      <c r="O205">
        <v>0.436</v>
      </c>
      <c r="P205">
        <v>3.8809999999999997E-2</v>
      </c>
      <c r="Q205">
        <v>33.600999999999999</v>
      </c>
      <c r="R205">
        <v>0.18642998999999999</v>
      </c>
      <c r="S205">
        <v>4773000192</v>
      </c>
      <c r="T205">
        <v>8442999808</v>
      </c>
      <c r="U205">
        <v>50588000256</v>
      </c>
      <c r="V205">
        <v>17.148</v>
      </c>
      <c r="W205" t="s">
        <v>40</v>
      </c>
      <c r="X205">
        <v>171.601</v>
      </c>
      <c r="Y205">
        <v>0.24299999999999999</v>
      </c>
      <c r="Z205" t="s">
        <v>42</v>
      </c>
      <c r="AA205" t="s">
        <v>525</v>
      </c>
      <c r="AB205">
        <v>0.78400000000000003</v>
      </c>
      <c r="AC205">
        <v>4.9039999999999999</v>
      </c>
      <c r="AD205">
        <v>10.62</v>
      </c>
      <c r="AE205">
        <v>286676000</v>
      </c>
      <c r="AF205">
        <v>85.968999999999994</v>
      </c>
      <c r="AG205">
        <v>10.83</v>
      </c>
      <c r="AH205">
        <v>1.6494317999999999</v>
      </c>
      <c r="AI205">
        <v>5.64E-3</v>
      </c>
      <c r="AJ205">
        <v>39646425088</v>
      </c>
      <c r="AK205">
        <v>-0.68899999999999995</v>
      </c>
      <c r="AL205">
        <v>-1.81</v>
      </c>
      <c r="AM205">
        <v>13.352166</v>
      </c>
      <c r="AN205">
        <v>40650657792</v>
      </c>
    </row>
    <row r="206" spans="1:40" x14ac:dyDescent="0.3">
      <c r="A206" s="1">
        <v>218</v>
      </c>
      <c r="B206" t="s">
        <v>526</v>
      </c>
      <c r="C206" t="s">
        <v>155</v>
      </c>
      <c r="D206">
        <v>0.33832002</v>
      </c>
      <c r="E206">
        <v>0.12056</v>
      </c>
      <c r="F206">
        <v>0.39736998000000001</v>
      </c>
      <c r="G206">
        <v>2252999936</v>
      </c>
      <c r="H206">
        <v>0.09</v>
      </c>
      <c r="I206">
        <v>0.16847000000000001</v>
      </c>
      <c r="J206">
        <v>4406000128</v>
      </c>
      <c r="K206">
        <v>4914000000</v>
      </c>
      <c r="L206">
        <v>-2596750080</v>
      </c>
      <c r="M206">
        <v>70.7</v>
      </c>
      <c r="N206">
        <v>-8.9999999999999993E-3</v>
      </c>
      <c r="O206">
        <v>0.77800000000000002</v>
      </c>
      <c r="P206">
        <v>2.4660000000000001E-2</v>
      </c>
      <c r="Q206">
        <v>163.63499999999999</v>
      </c>
      <c r="R206">
        <v>0.10847</v>
      </c>
      <c r="S206">
        <v>695000000</v>
      </c>
      <c r="T206">
        <v>24824999936</v>
      </c>
      <c r="U206">
        <v>13022999552</v>
      </c>
      <c r="V206">
        <v>1.29</v>
      </c>
      <c r="W206" t="s">
        <v>40</v>
      </c>
      <c r="X206">
        <v>24.263000000000002</v>
      </c>
      <c r="Y206">
        <v>0.41199999999999998</v>
      </c>
      <c r="Z206" t="s">
        <v>42</v>
      </c>
      <c r="AA206" t="s">
        <v>527</v>
      </c>
      <c r="AB206">
        <v>4.681</v>
      </c>
      <c r="AC206">
        <v>13.836</v>
      </c>
      <c r="AD206">
        <v>3.17</v>
      </c>
      <c r="AE206">
        <v>538675968</v>
      </c>
      <c r="AF206">
        <v>28.175000000000001</v>
      </c>
      <c r="AG206">
        <v>2.9239999999999999</v>
      </c>
      <c r="AH206">
        <v>2.5093166999999998</v>
      </c>
      <c r="AI206">
        <v>2.5200000000000001E-3</v>
      </c>
      <c r="AJ206">
        <v>60959248384</v>
      </c>
      <c r="AK206">
        <v>0.01</v>
      </c>
      <c r="AL206">
        <v>3.34</v>
      </c>
      <c r="AM206">
        <v>22.302837</v>
      </c>
      <c r="AN206">
        <v>38084390912</v>
      </c>
    </row>
    <row r="207" spans="1:40" x14ac:dyDescent="0.3">
      <c r="A207" s="1">
        <v>219</v>
      </c>
      <c r="B207" t="s">
        <v>528</v>
      </c>
      <c r="C207" t="s">
        <v>455</v>
      </c>
      <c r="D207">
        <v>0.39998</v>
      </c>
      <c r="E207">
        <v>0.11376</v>
      </c>
      <c r="F207">
        <v>0.55335000000000001</v>
      </c>
      <c r="G207">
        <v>2796999936</v>
      </c>
      <c r="H207">
        <v>0.14799999999999999</v>
      </c>
      <c r="I207">
        <v>0.19740999000000001</v>
      </c>
      <c r="J207">
        <v>3303808000</v>
      </c>
      <c r="K207">
        <v>3811431000</v>
      </c>
      <c r="L207">
        <v>2877889792</v>
      </c>
      <c r="M207">
        <v>136.19</v>
      </c>
      <c r="N207">
        <v>0.36799999999999999</v>
      </c>
      <c r="O207">
        <v>1.151</v>
      </c>
      <c r="P207">
        <v>2.257E-2</v>
      </c>
      <c r="Q207">
        <v>43.173000000000002</v>
      </c>
      <c r="R207">
        <v>3.5180000000000003E-2</v>
      </c>
      <c r="S207">
        <v>2347731968</v>
      </c>
      <c r="T207">
        <v>11377986560</v>
      </c>
      <c r="U207">
        <v>8259974144</v>
      </c>
      <c r="V207">
        <v>8.0909999999999993</v>
      </c>
      <c r="W207" t="s">
        <v>40</v>
      </c>
      <c r="X207">
        <v>27.954999999999998</v>
      </c>
      <c r="Y207">
        <v>0.64600000000000002</v>
      </c>
      <c r="Z207" t="s">
        <v>42</v>
      </c>
      <c r="AA207" t="s">
        <v>529</v>
      </c>
      <c r="AB207">
        <v>6.2270000000000003</v>
      </c>
      <c r="AC207">
        <v>15.568</v>
      </c>
      <c r="AD207">
        <v>9.59</v>
      </c>
      <c r="AE207">
        <v>290151008</v>
      </c>
      <c r="AF207">
        <v>90.135000000000005</v>
      </c>
      <c r="AG207">
        <v>3.1669999999999998</v>
      </c>
      <c r="AH207">
        <v>1.5109558000000001</v>
      </c>
      <c r="AI207">
        <v>9.3200000000000002E-3</v>
      </c>
      <c r="AJ207">
        <v>51434237952</v>
      </c>
      <c r="AK207">
        <v>0.34300000000000003</v>
      </c>
      <c r="AL207">
        <v>0.88</v>
      </c>
      <c r="AM207">
        <v>14.201250999999999</v>
      </c>
      <c r="AN207">
        <v>39515668480</v>
      </c>
    </row>
    <row r="208" spans="1:40" x14ac:dyDescent="0.3">
      <c r="A208" s="1">
        <v>220</v>
      </c>
      <c r="B208" t="s">
        <v>530</v>
      </c>
      <c r="C208" t="s">
        <v>165</v>
      </c>
      <c r="D208">
        <v>0.44124000000000002</v>
      </c>
      <c r="E208">
        <v>0.16236999999999999</v>
      </c>
      <c r="F208">
        <v>0.54381999999999997</v>
      </c>
      <c r="G208">
        <v>918000000</v>
      </c>
      <c r="H208">
        <v>7.8E-2</v>
      </c>
      <c r="I208">
        <v>0.38799998000000002</v>
      </c>
      <c r="J208">
        <v>2155000064</v>
      </c>
      <c r="K208">
        <v>2549000000</v>
      </c>
      <c r="L208">
        <v>822374976</v>
      </c>
      <c r="M208">
        <v>675.53</v>
      </c>
      <c r="O208">
        <v>5.0590000000000002</v>
      </c>
      <c r="P208">
        <v>6.2670000000000003E-2</v>
      </c>
      <c r="S208">
        <v>4813000192</v>
      </c>
      <c r="T208">
        <v>20116000768</v>
      </c>
      <c r="U208">
        <v>4883999744</v>
      </c>
      <c r="V208">
        <v>43.39</v>
      </c>
      <c r="W208" t="s">
        <v>40</v>
      </c>
      <c r="X208">
        <v>82.05</v>
      </c>
      <c r="Y208">
        <v>4.0380000000000003</v>
      </c>
      <c r="Z208" t="s">
        <v>42</v>
      </c>
      <c r="AA208" t="s">
        <v>531</v>
      </c>
      <c r="AB208">
        <v>17.879000000000001</v>
      </c>
      <c r="AC208">
        <v>40.520000000000003</v>
      </c>
      <c r="AD208">
        <v>21.12</v>
      </c>
      <c r="AE208">
        <v>55248900</v>
      </c>
      <c r="AF208">
        <v>-52.820999999999998</v>
      </c>
      <c r="AG208">
        <v>10.394</v>
      </c>
      <c r="AI208">
        <v>8.6099999999999996E-3</v>
      </c>
      <c r="AJ208">
        <v>87319748608</v>
      </c>
      <c r="AK208">
        <v>2.2599999999999998</v>
      </c>
      <c r="AL208">
        <v>1.56</v>
      </c>
      <c r="AM208">
        <v>31.985323000000001</v>
      </c>
      <c r="AN208">
        <v>37322289152</v>
      </c>
    </row>
    <row r="209" spans="1:40" x14ac:dyDescent="0.3">
      <c r="A209" s="1">
        <v>221</v>
      </c>
      <c r="B209" t="s">
        <v>532</v>
      </c>
      <c r="C209" t="s">
        <v>223</v>
      </c>
      <c r="D209">
        <v>0.21511</v>
      </c>
      <c r="E209">
        <v>0.1188</v>
      </c>
      <c r="F209">
        <v>0.27993000000000001</v>
      </c>
      <c r="G209">
        <v>2226481920</v>
      </c>
      <c r="H209">
        <v>0.121</v>
      </c>
      <c r="I209">
        <v>0.17673999000000001</v>
      </c>
      <c r="J209">
        <v>3289517056</v>
      </c>
      <c r="K209">
        <v>3932960000</v>
      </c>
      <c r="L209">
        <v>-676876480</v>
      </c>
      <c r="M209">
        <v>290.43</v>
      </c>
      <c r="N209">
        <v>-0.13200000000000001</v>
      </c>
      <c r="O209">
        <v>1.504</v>
      </c>
      <c r="P209">
        <v>8.0010003999999996E-2</v>
      </c>
      <c r="Q209">
        <v>96.394999999999996</v>
      </c>
      <c r="R209">
        <v>0.22874</v>
      </c>
      <c r="S209">
        <v>489992000</v>
      </c>
      <c r="T209">
        <v>8452177920</v>
      </c>
      <c r="U209">
        <v>15292583936</v>
      </c>
      <c r="V209">
        <v>3.8140000000000001</v>
      </c>
      <c r="W209" t="s">
        <v>40</v>
      </c>
      <c r="X209">
        <v>118.663</v>
      </c>
      <c r="Y209">
        <v>0.51500000000000001</v>
      </c>
      <c r="Z209" t="s">
        <v>42</v>
      </c>
      <c r="AA209" t="s">
        <v>533</v>
      </c>
      <c r="AB209">
        <v>2.9510000000000001</v>
      </c>
      <c r="AC209">
        <v>13.718999999999999</v>
      </c>
      <c r="AD209">
        <v>19.53</v>
      </c>
      <c r="AE209">
        <v>128515000</v>
      </c>
      <c r="AF209">
        <v>66.067999999999998</v>
      </c>
      <c r="AG209">
        <v>14.345000000000001</v>
      </c>
      <c r="AH209">
        <v>4.3959250000000001</v>
      </c>
      <c r="AI209">
        <v>3.6000002E-3</v>
      </c>
      <c r="AJ209">
        <v>45129830400</v>
      </c>
      <c r="AK209">
        <v>-0.13500000000000001</v>
      </c>
      <c r="AL209">
        <v>1.65</v>
      </c>
      <c r="AM209">
        <v>14.870967</v>
      </c>
      <c r="AN209">
        <v>37324611584</v>
      </c>
    </row>
    <row r="210" spans="1:40" x14ac:dyDescent="0.3">
      <c r="A210" s="1">
        <v>222</v>
      </c>
      <c r="B210" t="s">
        <v>535</v>
      </c>
      <c r="C210" t="s">
        <v>534</v>
      </c>
      <c r="D210">
        <v>0.31419000000000002</v>
      </c>
      <c r="E210">
        <v>0.19679000999999999</v>
      </c>
      <c r="F210">
        <v>0.38063999999999998</v>
      </c>
      <c r="G210">
        <v>1212605952</v>
      </c>
      <c r="H210">
        <v>0.314</v>
      </c>
      <c r="I210">
        <v>0.26474999999999999</v>
      </c>
      <c r="J210">
        <v>1651501056</v>
      </c>
      <c r="K210">
        <v>2000794000</v>
      </c>
      <c r="L210">
        <v>528442880</v>
      </c>
      <c r="M210">
        <v>313.76</v>
      </c>
      <c r="N210">
        <v>0.497</v>
      </c>
      <c r="O210">
        <v>2.9809999999999999</v>
      </c>
      <c r="P210">
        <v>0.18926000000000001</v>
      </c>
      <c r="Q210">
        <v>5.51</v>
      </c>
      <c r="R210">
        <v>0.29527999999999999</v>
      </c>
      <c r="S210">
        <v>716996992</v>
      </c>
      <c r="T210">
        <v>202747008</v>
      </c>
      <c r="U210">
        <v>5256328192</v>
      </c>
      <c r="V210">
        <v>6.242</v>
      </c>
      <c r="W210" t="s">
        <v>40</v>
      </c>
      <c r="X210">
        <v>45.45</v>
      </c>
      <c r="Y210">
        <v>2.835</v>
      </c>
      <c r="Z210" t="s">
        <v>42</v>
      </c>
      <c r="AA210" t="s">
        <v>536</v>
      </c>
      <c r="AB210">
        <v>6.5019999999999998</v>
      </c>
      <c r="AC210">
        <v>20.693999999999999</v>
      </c>
      <c r="AD210">
        <v>10.29</v>
      </c>
      <c r="AE210">
        <v>115011000</v>
      </c>
      <c r="AF210">
        <v>29.734999999999999</v>
      </c>
      <c r="AG210">
        <v>8.0869999999999997</v>
      </c>
      <c r="AH210">
        <v>10.551875000000001</v>
      </c>
      <c r="AI210">
        <v>0.12479999999999999</v>
      </c>
      <c r="AJ210">
        <v>34175766528</v>
      </c>
      <c r="AK210">
        <v>0.46899999999999997</v>
      </c>
      <c r="AL210">
        <v>1.39</v>
      </c>
      <c r="AM210">
        <v>30.491741000000001</v>
      </c>
      <c r="AN210">
        <v>36085854208</v>
      </c>
    </row>
    <row r="211" spans="1:40" x14ac:dyDescent="0.3">
      <c r="A211" s="1">
        <v>223</v>
      </c>
      <c r="B211" t="s">
        <v>537</v>
      </c>
      <c r="C211" t="s">
        <v>223</v>
      </c>
      <c r="D211">
        <v>0.16252</v>
      </c>
      <c r="E211">
        <v>9.8229999999999998E-2</v>
      </c>
      <c r="F211">
        <v>0.31875999999999999</v>
      </c>
      <c r="G211">
        <v>1788099968</v>
      </c>
      <c r="H211">
        <v>6.4000000000000001E-2</v>
      </c>
      <c r="I211">
        <v>0.14482</v>
      </c>
      <c r="J211">
        <v>2234099968</v>
      </c>
      <c r="K211">
        <v>3827500000</v>
      </c>
      <c r="L211">
        <v>1518837504</v>
      </c>
      <c r="M211">
        <v>155.58000000000001</v>
      </c>
      <c r="N211">
        <v>1.7000000000000001E-2</v>
      </c>
      <c r="O211">
        <v>1.621</v>
      </c>
      <c r="P211">
        <v>6.8849999999999995E-2</v>
      </c>
      <c r="Q211">
        <v>74.62</v>
      </c>
      <c r="R211">
        <v>0.21420998999999999</v>
      </c>
      <c r="S211">
        <v>2738800128</v>
      </c>
      <c r="T211">
        <v>4841099776</v>
      </c>
      <c r="U211">
        <v>13746199552</v>
      </c>
      <c r="V211">
        <v>11.53</v>
      </c>
      <c r="W211" t="s">
        <v>40</v>
      </c>
      <c r="X211">
        <v>57.395000000000003</v>
      </c>
      <c r="Y211">
        <v>1.1990000000000001</v>
      </c>
      <c r="Z211" t="s">
        <v>42</v>
      </c>
      <c r="AA211" t="s">
        <v>538</v>
      </c>
      <c r="AB211">
        <v>3.524</v>
      </c>
      <c r="AC211">
        <v>21.68</v>
      </c>
      <c r="AD211">
        <v>6.98</v>
      </c>
      <c r="AE211">
        <v>237540000</v>
      </c>
      <c r="AF211">
        <v>27.263999999999999</v>
      </c>
      <c r="AG211">
        <v>5.5620000000000003</v>
      </c>
      <c r="AH211">
        <v>5.7064260000000004</v>
      </c>
      <c r="AI211">
        <v>4.2700000000000004E-3</v>
      </c>
      <c r="AJ211">
        <v>48435232768</v>
      </c>
      <c r="AK211">
        <v>1.2999999999999999E-2</v>
      </c>
      <c r="AL211">
        <v>1.44</v>
      </c>
      <c r="AM211">
        <v>22.289397999999998</v>
      </c>
      <c r="AN211">
        <v>36956475392</v>
      </c>
    </row>
    <row r="212" spans="1:40" x14ac:dyDescent="0.3">
      <c r="A212" s="1">
        <v>224</v>
      </c>
      <c r="B212" t="s">
        <v>539</v>
      </c>
      <c r="C212" t="s">
        <v>425</v>
      </c>
      <c r="D212">
        <v>1.9450001000000001E-2</v>
      </c>
      <c r="E212">
        <v>1.1809999999999999E-2</v>
      </c>
      <c r="F212">
        <v>8.4089999999999998E-2</v>
      </c>
      <c r="G212">
        <v>6016999936</v>
      </c>
      <c r="H212">
        <v>0.98899999999999999</v>
      </c>
      <c r="I212">
        <v>5.6800004000000003E-3</v>
      </c>
      <c r="J212">
        <v>2168000000</v>
      </c>
      <c r="K212">
        <v>9374000000</v>
      </c>
      <c r="L212">
        <v>1870499968</v>
      </c>
      <c r="M212">
        <v>83.85</v>
      </c>
      <c r="O212">
        <v>1.1479999999999999</v>
      </c>
      <c r="P212">
        <v>7.1700000000000002E-3</v>
      </c>
      <c r="Q212">
        <v>71.709999999999994</v>
      </c>
      <c r="R212">
        <v>7.3860005000000006E-2</v>
      </c>
      <c r="S212">
        <v>3147000064</v>
      </c>
      <c r="T212">
        <v>15516000256</v>
      </c>
      <c r="U212">
        <v>111475998720</v>
      </c>
      <c r="V212">
        <v>7.1769999999999996</v>
      </c>
      <c r="W212" t="s">
        <v>40</v>
      </c>
      <c r="X212">
        <v>253.33799999999999</v>
      </c>
      <c r="Y212">
        <v>0.82899999999999996</v>
      </c>
      <c r="Z212" t="s">
        <v>42</v>
      </c>
      <c r="AA212" t="s">
        <v>540</v>
      </c>
      <c r="AB212">
        <v>0.46500000000000002</v>
      </c>
      <c r="AC212">
        <v>23.893999999999998</v>
      </c>
      <c r="AD212">
        <v>6.89</v>
      </c>
      <c r="AE212">
        <v>438201984</v>
      </c>
      <c r="AF212">
        <v>41.404000000000003</v>
      </c>
      <c r="AG212">
        <v>-1.151</v>
      </c>
      <c r="AH212">
        <v>2.0251667000000002</v>
      </c>
      <c r="AI212">
        <v>3.5400000000000002E-3</v>
      </c>
      <c r="AJ212">
        <v>51802312704</v>
      </c>
      <c r="AL212">
        <v>-1.7</v>
      </c>
      <c r="AM212">
        <v>12.169810999999999</v>
      </c>
      <c r="AN212">
        <v>36743237632</v>
      </c>
    </row>
    <row r="213" spans="1:40" x14ac:dyDescent="0.3">
      <c r="A213" s="1">
        <v>225</v>
      </c>
      <c r="B213" t="s">
        <v>541</v>
      </c>
      <c r="C213" t="s">
        <v>332</v>
      </c>
      <c r="D213">
        <v>0.22201000000000001</v>
      </c>
      <c r="E213">
        <v>0.122729994</v>
      </c>
      <c r="F213">
        <v>0.72967004999999996</v>
      </c>
      <c r="G213">
        <v>1416000000</v>
      </c>
      <c r="H213">
        <v>0.58599999999999997</v>
      </c>
      <c r="I213">
        <v>0.17494999999999999</v>
      </c>
      <c r="J213">
        <v>1420000000</v>
      </c>
      <c r="K213">
        <v>4135000000</v>
      </c>
      <c r="L213">
        <v>1405874944</v>
      </c>
      <c r="M213">
        <v>127.32</v>
      </c>
      <c r="N213">
        <v>0.61899999999999999</v>
      </c>
      <c r="O213">
        <v>1.3149999999999999</v>
      </c>
      <c r="P213">
        <v>5.7119999999999997E-2</v>
      </c>
      <c r="Q213">
        <v>27.94</v>
      </c>
      <c r="R213">
        <v>9.8549990000000004E-2</v>
      </c>
      <c r="S213">
        <v>1972000000</v>
      </c>
      <c r="T213">
        <v>2195000064</v>
      </c>
      <c r="U213">
        <v>6396000256</v>
      </c>
      <c r="V213">
        <v>6.9729999999999999</v>
      </c>
      <c r="W213" t="s">
        <v>40</v>
      </c>
      <c r="X213">
        <v>22.286000000000001</v>
      </c>
      <c r="Y213">
        <v>1.165</v>
      </c>
      <c r="Z213" t="s">
        <v>42</v>
      </c>
      <c r="AA213" t="s">
        <v>542</v>
      </c>
      <c r="AB213">
        <v>5.9509999999999996</v>
      </c>
      <c r="AC213">
        <v>26.805</v>
      </c>
      <c r="AD213">
        <v>7.53</v>
      </c>
      <c r="AE213">
        <v>282808000</v>
      </c>
      <c r="AF213">
        <v>27.695</v>
      </c>
      <c r="AG213">
        <v>2.7149999999999999</v>
      </c>
      <c r="AH213">
        <v>4.5972200000000001</v>
      </c>
      <c r="AI213">
        <v>5.1700002999999998E-3</v>
      </c>
      <c r="AJ213">
        <v>38062731264</v>
      </c>
      <c r="AK213">
        <v>0.58899999999999997</v>
      </c>
      <c r="AL213">
        <v>0.73</v>
      </c>
      <c r="AM213">
        <v>16.908365</v>
      </c>
      <c r="AN213">
        <v>36007112704</v>
      </c>
    </row>
    <row r="214" spans="1:40" x14ac:dyDescent="0.3">
      <c r="A214" s="1">
        <v>226</v>
      </c>
      <c r="B214" t="s">
        <v>543</v>
      </c>
      <c r="C214" t="s">
        <v>71</v>
      </c>
      <c r="D214">
        <v>0.10316</v>
      </c>
      <c r="E214">
        <v>5.2929999999999998E-2</v>
      </c>
      <c r="F214">
        <v>0.29849999999999999</v>
      </c>
      <c r="G214">
        <v>2001299968</v>
      </c>
      <c r="H214">
        <v>3.9E-2</v>
      </c>
      <c r="I214">
        <v>7.5850000000000001E-2</v>
      </c>
      <c r="J214">
        <v>2683000064</v>
      </c>
      <c r="K214">
        <v>7824600000</v>
      </c>
      <c r="L214">
        <v>837600000</v>
      </c>
      <c r="M214">
        <v>156.41</v>
      </c>
      <c r="N214">
        <v>-0.309</v>
      </c>
      <c r="O214">
        <v>1.252</v>
      </c>
      <c r="P214">
        <v>5.8650000000000001E-2</v>
      </c>
      <c r="Q214">
        <v>134.864</v>
      </c>
      <c r="R214">
        <v>0.19379999000000001</v>
      </c>
      <c r="S214">
        <v>701400000</v>
      </c>
      <c r="T214">
        <v>9770099712</v>
      </c>
      <c r="U214">
        <v>26008500224</v>
      </c>
      <c r="V214">
        <v>3.1179999999999999</v>
      </c>
      <c r="W214" t="s">
        <v>40</v>
      </c>
      <c r="X214">
        <v>112.92100000000001</v>
      </c>
      <c r="Y214">
        <v>0.16300000000000001</v>
      </c>
      <c r="Z214" t="s">
        <v>42</v>
      </c>
      <c r="AA214" t="s">
        <v>544</v>
      </c>
      <c r="AB214">
        <v>1.5680000000000001</v>
      </c>
      <c r="AC214">
        <v>15.199</v>
      </c>
      <c r="AD214">
        <v>7.47</v>
      </c>
      <c r="AE214">
        <v>224956000</v>
      </c>
      <c r="AF214">
        <v>32.212000000000003</v>
      </c>
      <c r="AG214">
        <v>5.9420000000000002</v>
      </c>
      <c r="AH214">
        <v>4.8556436999999999</v>
      </c>
      <c r="AI214">
        <v>1.338E-2</v>
      </c>
      <c r="AJ214">
        <v>40778506240</v>
      </c>
      <c r="AK214">
        <v>-0.34300000000000003</v>
      </c>
      <c r="AL214">
        <v>1.7</v>
      </c>
      <c r="AM214">
        <v>20.938421000000002</v>
      </c>
      <c r="AN214">
        <v>35185369088</v>
      </c>
    </row>
    <row r="215" spans="1:40" x14ac:dyDescent="0.3">
      <c r="A215" s="1">
        <v>227</v>
      </c>
      <c r="B215" t="s">
        <v>545</v>
      </c>
      <c r="C215" t="s">
        <v>226</v>
      </c>
      <c r="D215">
        <v>0.32056000000000001</v>
      </c>
      <c r="E215">
        <v>0.14923</v>
      </c>
      <c r="F215">
        <v>0.58411999999999997</v>
      </c>
      <c r="G215">
        <v>527062016</v>
      </c>
      <c r="H215">
        <v>0.20200000000000001</v>
      </c>
      <c r="I215">
        <v>0.28743999999999997</v>
      </c>
      <c r="J215">
        <v>1073526976</v>
      </c>
      <c r="K215">
        <v>1889459000</v>
      </c>
      <c r="L215">
        <v>582841984</v>
      </c>
      <c r="M215">
        <v>240.33</v>
      </c>
      <c r="N215">
        <v>0.13900000000000001</v>
      </c>
      <c r="O215">
        <v>2.5409999999999999</v>
      </c>
      <c r="P215">
        <v>0.12869</v>
      </c>
      <c r="Q215">
        <v>31.398</v>
      </c>
      <c r="R215">
        <v>0.17519999999999999</v>
      </c>
      <c r="S215">
        <v>309287008</v>
      </c>
      <c r="T215">
        <v>950105024</v>
      </c>
      <c r="U215">
        <v>3348896000</v>
      </c>
      <c r="V215">
        <v>2.1219999999999999</v>
      </c>
      <c r="W215" t="s">
        <v>40</v>
      </c>
      <c r="X215">
        <v>23.015000000000001</v>
      </c>
      <c r="Y215">
        <v>1.4590000000000001</v>
      </c>
      <c r="Z215" t="s">
        <v>42</v>
      </c>
      <c r="AA215" t="s">
        <v>546</v>
      </c>
      <c r="AB215">
        <v>10.57</v>
      </c>
      <c r="AC215">
        <v>32.973999999999997</v>
      </c>
      <c r="AD215">
        <v>6.82</v>
      </c>
      <c r="AE215">
        <v>145723008</v>
      </c>
      <c r="AF215">
        <v>20.766999999999999</v>
      </c>
      <c r="AG215">
        <v>3.4119999999999999</v>
      </c>
      <c r="AH215">
        <v>11.572687</v>
      </c>
      <c r="AI215">
        <v>8.0400000000000003E-3</v>
      </c>
      <c r="AJ215">
        <v>35398701056</v>
      </c>
      <c r="AK215">
        <v>0.14199999999999999</v>
      </c>
      <c r="AL215">
        <v>1.75</v>
      </c>
      <c r="AM215">
        <v>35.239001999999999</v>
      </c>
      <c r="AN215">
        <v>35021611008</v>
      </c>
    </row>
    <row r="216" spans="1:40" x14ac:dyDescent="0.3">
      <c r="A216" s="1">
        <v>228</v>
      </c>
      <c r="B216" t="s">
        <v>547</v>
      </c>
      <c r="C216" t="s">
        <v>158</v>
      </c>
      <c r="D216">
        <v>0.18642998999999999</v>
      </c>
      <c r="E216">
        <v>0.12149999</v>
      </c>
      <c r="F216">
        <v>0.19006999999999999</v>
      </c>
      <c r="G216">
        <v>7695000064</v>
      </c>
      <c r="H216">
        <v>0.61599999999999999</v>
      </c>
      <c r="I216">
        <v>0.16006999999999999</v>
      </c>
      <c r="J216">
        <v>8608000000</v>
      </c>
      <c r="K216">
        <v>8776000000</v>
      </c>
      <c r="L216">
        <v>4114625024</v>
      </c>
      <c r="M216">
        <v>107.69</v>
      </c>
      <c r="N216">
        <v>-0.14499999999999999</v>
      </c>
      <c r="O216">
        <v>1.69</v>
      </c>
      <c r="P216">
        <v>0.12806000000000001</v>
      </c>
      <c r="Q216">
        <v>115.79900000000001</v>
      </c>
      <c r="R216">
        <v>0.55903000000000003</v>
      </c>
      <c r="S216">
        <v>1488000000</v>
      </c>
      <c r="T216">
        <v>13882000384</v>
      </c>
      <c r="U216">
        <v>46172999680</v>
      </c>
      <c r="V216">
        <v>4.5359999999999996</v>
      </c>
      <c r="W216" t="s">
        <v>40</v>
      </c>
      <c r="X216">
        <v>138.24299999999999</v>
      </c>
      <c r="Y216">
        <v>0.92700000000000005</v>
      </c>
      <c r="Z216" t="s">
        <v>42</v>
      </c>
      <c r="AA216" t="s">
        <v>548</v>
      </c>
      <c r="AB216">
        <v>0.94499999999999995</v>
      </c>
      <c r="AC216">
        <v>5.0670000000000002</v>
      </c>
      <c r="AD216">
        <v>15.21</v>
      </c>
      <c r="AE216">
        <v>332784000</v>
      </c>
      <c r="AF216">
        <v>35.369</v>
      </c>
      <c r="AG216">
        <v>17.120999999999999</v>
      </c>
      <c r="AH216">
        <v>3.0447570000000002</v>
      </c>
      <c r="AI216">
        <v>0.21672000999999999</v>
      </c>
      <c r="AJ216">
        <v>43612749824</v>
      </c>
      <c r="AK216">
        <v>-0.151</v>
      </c>
      <c r="AL216">
        <v>0.11</v>
      </c>
      <c r="AM216">
        <v>7.0802107000000003</v>
      </c>
      <c r="AN216">
        <v>35837509632</v>
      </c>
    </row>
    <row r="217" spans="1:40" x14ac:dyDescent="0.3">
      <c r="A217" s="1">
        <v>229</v>
      </c>
      <c r="B217" t="s">
        <v>549</v>
      </c>
      <c r="C217" t="s">
        <v>218</v>
      </c>
      <c r="D217">
        <v>0.66193999999999997</v>
      </c>
      <c r="E217">
        <v>0.13091</v>
      </c>
      <c r="F217">
        <v>0.75319000000000003</v>
      </c>
      <c r="G217">
        <v>1134455040</v>
      </c>
      <c r="H217">
        <v>0.127</v>
      </c>
      <c r="I217">
        <v>0.34604000000000001</v>
      </c>
      <c r="J217">
        <v>1489095040</v>
      </c>
      <c r="K217">
        <v>1590028000</v>
      </c>
      <c r="L217">
        <v>811469120</v>
      </c>
      <c r="M217">
        <v>328.99</v>
      </c>
      <c r="N217">
        <v>1.1499999999999999</v>
      </c>
      <c r="O217">
        <v>0.68200000000000005</v>
      </c>
      <c r="P217">
        <v>5.203E-2</v>
      </c>
      <c r="S217">
        <v>187806000</v>
      </c>
      <c r="T217">
        <v>14098338816</v>
      </c>
      <c r="U217">
        <v>2249603072</v>
      </c>
      <c r="V217">
        <v>1.726</v>
      </c>
      <c r="W217" t="s">
        <v>40</v>
      </c>
      <c r="X217">
        <v>20.49</v>
      </c>
      <c r="Y217">
        <v>0.51500000000000001</v>
      </c>
      <c r="Z217" t="s">
        <v>42</v>
      </c>
      <c r="AA217" t="s">
        <v>550</v>
      </c>
      <c r="AB217">
        <v>21.956</v>
      </c>
      <c r="AC217">
        <v>33.17</v>
      </c>
      <c r="AD217">
        <v>3.98</v>
      </c>
      <c r="AE217">
        <v>108781000</v>
      </c>
      <c r="AF217">
        <v>-45.29</v>
      </c>
      <c r="AG217">
        <v>2.6059999999999999</v>
      </c>
      <c r="AI217">
        <v>1.2189999999999999E-2</v>
      </c>
      <c r="AJ217">
        <v>49392783360</v>
      </c>
      <c r="AK217">
        <v>1.1180000000000001</v>
      </c>
      <c r="AL217">
        <v>0.8</v>
      </c>
      <c r="AM217">
        <v>82.660804999999996</v>
      </c>
      <c r="AN217">
        <v>35787862016</v>
      </c>
    </row>
    <row r="218" spans="1:40" x14ac:dyDescent="0.3">
      <c r="A218" s="1">
        <v>230</v>
      </c>
      <c r="B218" t="s">
        <v>551</v>
      </c>
      <c r="C218" t="s">
        <v>264</v>
      </c>
      <c r="D218">
        <v>0.24449000000000001</v>
      </c>
      <c r="E218">
        <v>0.12168</v>
      </c>
      <c r="F218">
        <v>0.3659</v>
      </c>
      <c r="G218">
        <v>1506099968</v>
      </c>
      <c r="H218">
        <v>0.16500000000000001</v>
      </c>
      <c r="I218">
        <v>0.17953</v>
      </c>
      <c r="J218">
        <v>1887900032</v>
      </c>
      <c r="K218">
        <v>2510500000</v>
      </c>
      <c r="L218">
        <v>829587520</v>
      </c>
      <c r="M218">
        <v>168.06</v>
      </c>
      <c r="N218">
        <v>0.17799999999999999</v>
      </c>
      <c r="O218">
        <v>1.298</v>
      </c>
      <c r="P218">
        <v>3.5560000000000001E-2</v>
      </c>
      <c r="Q218">
        <v>68.385999999999996</v>
      </c>
      <c r="R218">
        <v>0.13818</v>
      </c>
      <c r="S218">
        <v>2735099904</v>
      </c>
      <c r="T218">
        <v>5792399872</v>
      </c>
      <c r="U218">
        <v>7721699840</v>
      </c>
      <c r="V218">
        <v>13.195</v>
      </c>
      <c r="W218" t="s">
        <v>40</v>
      </c>
      <c r="X218">
        <v>38.811999999999998</v>
      </c>
      <c r="Y218">
        <v>0.95599999999999996</v>
      </c>
      <c r="Z218" t="s">
        <v>42</v>
      </c>
      <c r="AA218" t="s">
        <v>552</v>
      </c>
      <c r="AB218">
        <v>4.8970000000000002</v>
      </c>
      <c r="AC218">
        <v>20.027999999999999</v>
      </c>
      <c r="AD218">
        <v>5.97</v>
      </c>
      <c r="AE218">
        <v>207278000</v>
      </c>
      <c r="AF218">
        <v>40.622999999999998</v>
      </c>
      <c r="AG218">
        <v>4.6219999999999999</v>
      </c>
      <c r="AH218">
        <v>4.1370649999999998</v>
      </c>
      <c r="AI218">
        <v>8.7899999999999992E-3</v>
      </c>
      <c r="AJ218">
        <v>37811757056</v>
      </c>
      <c r="AK218">
        <v>0.27500000000000002</v>
      </c>
      <c r="AL218">
        <v>2.5299999999999998</v>
      </c>
      <c r="AM218">
        <v>28.150755</v>
      </c>
      <c r="AN218">
        <v>34835140608</v>
      </c>
    </row>
    <row r="219" spans="1:40" x14ac:dyDescent="0.3">
      <c r="A219" s="1">
        <v>231</v>
      </c>
      <c r="B219" t="s">
        <v>553</v>
      </c>
      <c r="C219" t="s">
        <v>141</v>
      </c>
      <c r="D219">
        <v>0.34948003</v>
      </c>
      <c r="E219">
        <v>0.23922001000000001</v>
      </c>
      <c r="F219">
        <v>0.48086000000000001</v>
      </c>
      <c r="G219">
        <v>1706000000</v>
      </c>
      <c r="H219">
        <v>8.4000000000000005E-2</v>
      </c>
      <c r="I219">
        <v>0.32457000000000003</v>
      </c>
      <c r="J219">
        <v>2300999936</v>
      </c>
      <c r="K219">
        <v>3166000000</v>
      </c>
      <c r="L219">
        <v>1037249984</v>
      </c>
      <c r="M219">
        <v>119.62</v>
      </c>
      <c r="N219">
        <v>1.6E-2</v>
      </c>
      <c r="O219">
        <v>1.083</v>
      </c>
      <c r="P219">
        <v>0.22603000000000001</v>
      </c>
      <c r="S219">
        <v>486000000</v>
      </c>
      <c r="T219">
        <v>12218999808</v>
      </c>
      <c r="U219">
        <v>6584000000</v>
      </c>
      <c r="V219">
        <v>1.6819999999999999</v>
      </c>
      <c r="W219" t="s">
        <v>40</v>
      </c>
      <c r="X219">
        <v>22.167999999999999</v>
      </c>
      <c r="Y219">
        <v>0.8</v>
      </c>
      <c r="Z219" t="s">
        <v>42</v>
      </c>
      <c r="AA219" t="s">
        <v>554</v>
      </c>
      <c r="AB219">
        <v>6.9930000000000003</v>
      </c>
      <c r="AC219">
        <v>20.010000000000002</v>
      </c>
      <c r="AD219">
        <v>4.95</v>
      </c>
      <c r="AE219">
        <v>293132992</v>
      </c>
      <c r="AF219">
        <v>-26.718</v>
      </c>
      <c r="AG219">
        <v>5.1779999999999999</v>
      </c>
      <c r="AI219">
        <v>1.6500001E-3</v>
      </c>
      <c r="AJ219">
        <v>46043713536</v>
      </c>
      <c r="AK219">
        <v>-6.0000000000000001E-3</v>
      </c>
      <c r="AL219">
        <v>1.98</v>
      </c>
      <c r="AM219">
        <v>24.165659000000002</v>
      </c>
      <c r="AN219">
        <v>35064569856</v>
      </c>
    </row>
    <row r="220" spans="1:40" x14ac:dyDescent="0.3">
      <c r="A220" s="1">
        <v>232</v>
      </c>
      <c r="B220" t="s">
        <v>555</v>
      </c>
      <c r="C220" t="s">
        <v>213</v>
      </c>
      <c r="D220">
        <v>0.31859999999999999</v>
      </c>
      <c r="E220">
        <v>0.20530999999999999</v>
      </c>
      <c r="F220">
        <v>0.56445999999999996</v>
      </c>
      <c r="G220">
        <v>3324999936</v>
      </c>
      <c r="H220">
        <v>0.18</v>
      </c>
      <c r="I220">
        <v>0.31130999999999998</v>
      </c>
      <c r="J220">
        <v>4283000064</v>
      </c>
      <c r="K220">
        <v>7588000000</v>
      </c>
      <c r="L220">
        <v>-6342249984</v>
      </c>
      <c r="M220">
        <v>314.63</v>
      </c>
      <c r="N220">
        <v>3.1749999999999998</v>
      </c>
      <c r="O220">
        <v>3.2189999999999999</v>
      </c>
      <c r="P220">
        <v>1.5299999999999999E-2</v>
      </c>
      <c r="Q220">
        <v>67.563999999999993</v>
      </c>
      <c r="R220">
        <v>0.47783999999999999</v>
      </c>
      <c r="S220">
        <v>8378999808</v>
      </c>
      <c r="T220">
        <v>3840999936</v>
      </c>
      <c r="U220">
        <v>13443000320</v>
      </c>
      <c r="V220">
        <v>75.656000000000006</v>
      </c>
      <c r="W220" t="s">
        <v>40</v>
      </c>
      <c r="X220">
        <v>114.604</v>
      </c>
      <c r="Y220">
        <v>2.4849999999999999</v>
      </c>
      <c r="Z220" t="s">
        <v>42</v>
      </c>
      <c r="AA220" t="s">
        <v>556</v>
      </c>
      <c r="AB220">
        <v>2.0550000000000002</v>
      </c>
      <c r="AC220">
        <v>6.45</v>
      </c>
      <c r="AD220">
        <v>24.64</v>
      </c>
      <c r="AE220">
        <v>111890000</v>
      </c>
      <c r="AF220">
        <v>50.774999999999999</v>
      </c>
      <c r="AG220">
        <v>18.396000000000001</v>
      </c>
      <c r="AH220">
        <v>6.1965529999999998</v>
      </c>
      <c r="AI220">
        <v>3.0699999999999998E-3</v>
      </c>
      <c r="AJ220">
        <v>27624075264</v>
      </c>
      <c r="AK220">
        <v>2.96</v>
      </c>
      <c r="AL220">
        <v>0.56999999999999995</v>
      </c>
      <c r="AM220">
        <v>12.769075000000001</v>
      </c>
      <c r="AN220">
        <v>35203952640</v>
      </c>
    </row>
    <row r="221" spans="1:40" x14ac:dyDescent="0.3">
      <c r="A221" s="1">
        <v>233</v>
      </c>
      <c r="B221" t="s">
        <v>557</v>
      </c>
      <c r="C221" t="s">
        <v>126</v>
      </c>
      <c r="D221">
        <v>0.27372000000000002</v>
      </c>
      <c r="E221">
        <v>0.19531999999999999</v>
      </c>
      <c r="F221">
        <v>0.74263999999999997</v>
      </c>
      <c r="G221">
        <v>1172544000</v>
      </c>
      <c r="H221">
        <v>0.23599999999999999</v>
      </c>
      <c r="I221">
        <v>0.24702999</v>
      </c>
      <c r="J221">
        <v>1081921280</v>
      </c>
      <c r="K221">
        <v>2935355000</v>
      </c>
      <c r="L221">
        <v>796417024</v>
      </c>
      <c r="M221">
        <v>430.44</v>
      </c>
      <c r="N221">
        <v>0.20499999999999999</v>
      </c>
      <c r="O221">
        <v>1.296</v>
      </c>
      <c r="P221">
        <v>0.11330999999999999</v>
      </c>
      <c r="Q221">
        <v>2.8340000000000001</v>
      </c>
      <c r="R221">
        <v>0.22518998000000001</v>
      </c>
      <c r="S221">
        <v>1171341952</v>
      </c>
      <c r="T221">
        <v>102656000</v>
      </c>
      <c r="U221">
        <v>3952583936</v>
      </c>
      <c r="V221">
        <v>14.872</v>
      </c>
      <c r="W221" t="s">
        <v>40</v>
      </c>
      <c r="X221">
        <v>50.085000000000001</v>
      </c>
      <c r="Y221">
        <v>1.075</v>
      </c>
      <c r="Z221" t="s">
        <v>42</v>
      </c>
      <c r="AA221" t="s">
        <v>558</v>
      </c>
      <c r="AB221">
        <v>9.8049999999999997</v>
      </c>
      <c r="AC221">
        <v>35.819000000000003</v>
      </c>
      <c r="AD221">
        <v>13.42</v>
      </c>
      <c r="AE221">
        <v>78853104</v>
      </c>
      <c r="AF221">
        <v>44.6</v>
      </c>
      <c r="AG221">
        <v>9.2780000000000005</v>
      </c>
      <c r="AH221">
        <v>9.6511209999999998</v>
      </c>
      <c r="AI221">
        <v>6.6970000000000002E-2</v>
      </c>
      <c r="AJ221">
        <v>38753439744</v>
      </c>
      <c r="AK221">
        <v>0.20100000000000001</v>
      </c>
      <c r="AL221">
        <v>1.3</v>
      </c>
      <c r="AM221">
        <v>32.074516000000003</v>
      </c>
      <c r="AN221">
        <v>33941530624</v>
      </c>
    </row>
    <row r="222" spans="1:40" x14ac:dyDescent="0.3">
      <c r="A222" s="1">
        <v>234</v>
      </c>
      <c r="B222" t="s">
        <v>560</v>
      </c>
      <c r="C222" t="s">
        <v>559</v>
      </c>
      <c r="D222">
        <v>0.59384000000000003</v>
      </c>
      <c r="E222">
        <v>0.44369999999999998</v>
      </c>
      <c r="F222">
        <v>0.62441002999999995</v>
      </c>
      <c r="G222">
        <v>1169282944</v>
      </c>
      <c r="H222">
        <v>2.5999999999999999E-2</v>
      </c>
      <c r="I222">
        <v>0.26909</v>
      </c>
      <c r="J222">
        <v>1352054016</v>
      </c>
      <c r="K222">
        <v>1479342000</v>
      </c>
      <c r="L222">
        <v>975169280</v>
      </c>
      <c r="M222">
        <v>247.24</v>
      </c>
      <c r="N222">
        <v>-0.46200000000000002</v>
      </c>
      <c r="O222">
        <v>1.0449999999999999</v>
      </c>
      <c r="P222">
        <v>1.983E-2</v>
      </c>
      <c r="Q222">
        <v>73.709000000000003</v>
      </c>
      <c r="R222">
        <v>9.4130000000000005E-2</v>
      </c>
      <c r="S222">
        <v>325692992</v>
      </c>
      <c r="T222">
        <v>7954226176</v>
      </c>
      <c r="U222">
        <v>2276797952</v>
      </c>
      <c r="V222">
        <v>2.335</v>
      </c>
      <c r="W222" t="s">
        <v>40</v>
      </c>
      <c r="X222">
        <v>16.341999999999999</v>
      </c>
      <c r="Y222">
        <v>0.48299999999999998</v>
      </c>
      <c r="Z222" t="s">
        <v>42</v>
      </c>
      <c r="AA222" t="s">
        <v>561</v>
      </c>
      <c r="AB222">
        <v>18.984999999999999</v>
      </c>
      <c r="AC222">
        <v>31.969000000000001</v>
      </c>
      <c r="AD222">
        <v>3.92</v>
      </c>
      <c r="AE222">
        <v>139740992</v>
      </c>
      <c r="AF222">
        <v>77.382000000000005</v>
      </c>
      <c r="AG222">
        <v>7.2350000000000003</v>
      </c>
      <c r="AH222">
        <v>3.195058</v>
      </c>
      <c r="AI222">
        <v>3.2399999999999998E-3</v>
      </c>
      <c r="AJ222">
        <v>43223908352</v>
      </c>
      <c r="AK222">
        <v>-0.46600000000000003</v>
      </c>
      <c r="AL222">
        <v>17.38</v>
      </c>
      <c r="AM222">
        <v>63.071429999999999</v>
      </c>
      <c r="AN222">
        <v>34549563392</v>
      </c>
    </row>
    <row r="223" spans="1:40" x14ac:dyDescent="0.3">
      <c r="A223" s="1">
        <v>236</v>
      </c>
      <c r="B223" t="s">
        <v>562</v>
      </c>
      <c r="C223" t="s">
        <v>381</v>
      </c>
      <c r="D223">
        <v>0.33844003</v>
      </c>
      <c r="E223">
        <v>-7.2999999999999995E-2</v>
      </c>
      <c r="F223">
        <v>0.28419</v>
      </c>
      <c r="G223">
        <v>1763000064</v>
      </c>
      <c r="H223">
        <v>-0.19700000000000001</v>
      </c>
      <c r="I223">
        <v>0.17766000000000001</v>
      </c>
      <c r="J223">
        <v>3068999936</v>
      </c>
      <c r="K223">
        <v>3432000000</v>
      </c>
      <c r="L223">
        <v>-2904124928</v>
      </c>
      <c r="M223">
        <v>68.31</v>
      </c>
      <c r="O223">
        <v>0.84099999999999997</v>
      </c>
      <c r="P223">
        <v>2.034E-2</v>
      </c>
      <c r="Q223">
        <v>141.98599999999999</v>
      </c>
      <c r="R223">
        <v>-4.4269999999999997E-2</v>
      </c>
      <c r="S223">
        <v>1811000064</v>
      </c>
      <c r="T223">
        <v>19975999488</v>
      </c>
      <c r="U223">
        <v>9068000256</v>
      </c>
      <c r="V223">
        <v>3.581</v>
      </c>
      <c r="W223" t="s">
        <v>40</v>
      </c>
      <c r="X223">
        <v>17.992000000000001</v>
      </c>
      <c r="Y223">
        <v>0.42299999999999999</v>
      </c>
      <c r="Z223" t="s">
        <v>42</v>
      </c>
      <c r="AA223" t="s">
        <v>563</v>
      </c>
      <c r="AB223">
        <v>5.6829999999999998</v>
      </c>
      <c r="AC223">
        <v>16.792000000000002</v>
      </c>
      <c r="AD223">
        <v>3.47</v>
      </c>
      <c r="AE223">
        <v>505664000</v>
      </c>
      <c r="AF223">
        <v>27.914999999999999</v>
      </c>
      <c r="AG223">
        <v>-1.3149999999999999</v>
      </c>
      <c r="AH223">
        <v>2.4470713000000002</v>
      </c>
      <c r="AI223">
        <v>1.5399999999999999E-3</v>
      </c>
      <c r="AJ223">
        <v>51533746176</v>
      </c>
      <c r="AL223">
        <v>5.44</v>
      </c>
      <c r="AM223">
        <v>19.685879</v>
      </c>
      <c r="AN223">
        <v>34541907968</v>
      </c>
    </row>
    <row r="224" spans="1:40" x14ac:dyDescent="0.3">
      <c r="A224" s="1">
        <v>237</v>
      </c>
      <c r="B224" t="s">
        <v>564</v>
      </c>
      <c r="C224" t="s">
        <v>213</v>
      </c>
      <c r="D224">
        <v>0.51444000000000001</v>
      </c>
      <c r="E224">
        <v>0.40183996999999999</v>
      </c>
      <c r="F224">
        <v>0.60985</v>
      </c>
      <c r="G224">
        <v>3452000000</v>
      </c>
      <c r="H224">
        <v>0.13200000000000001</v>
      </c>
      <c r="I224">
        <v>0.48773998000000002</v>
      </c>
      <c r="J224">
        <v>3946700032</v>
      </c>
      <c r="K224">
        <v>4678700000</v>
      </c>
      <c r="L224">
        <v>2753187584</v>
      </c>
      <c r="M224">
        <v>148.91999999999999</v>
      </c>
      <c r="N224">
        <v>-4.4999999999999998E-2</v>
      </c>
      <c r="O224">
        <v>1.569</v>
      </c>
      <c r="P224">
        <v>0.20188998999999999</v>
      </c>
      <c r="Q224">
        <v>3.5369999999999999</v>
      </c>
      <c r="R224">
        <v>0.31742999999999999</v>
      </c>
      <c r="S224">
        <v>1523100032</v>
      </c>
      <c r="T224">
        <v>362700000</v>
      </c>
      <c r="U224">
        <v>7671900160</v>
      </c>
      <c r="V224">
        <v>6.6779999999999999</v>
      </c>
      <c r="W224" t="s">
        <v>40</v>
      </c>
      <c r="X224">
        <v>33.856999999999999</v>
      </c>
      <c r="Y224">
        <v>1.569</v>
      </c>
      <c r="Z224" t="s">
        <v>42</v>
      </c>
      <c r="AA224" t="s">
        <v>565</v>
      </c>
      <c r="AB224">
        <v>4.1340000000000003</v>
      </c>
      <c r="AC224">
        <v>8.0370000000000008</v>
      </c>
      <c r="AD224">
        <v>13.35</v>
      </c>
      <c r="AE224">
        <v>229198000</v>
      </c>
      <c r="AF224">
        <v>36.523000000000003</v>
      </c>
      <c r="AG224">
        <v>13.27</v>
      </c>
      <c r="AH224">
        <v>4.0774306999999999</v>
      </c>
      <c r="AI224">
        <v>1.585E-2</v>
      </c>
      <c r="AJ224">
        <v>31718543360</v>
      </c>
      <c r="AK224">
        <v>-5.5E-2</v>
      </c>
      <c r="AL224">
        <v>1.26</v>
      </c>
      <c r="AM224">
        <v>11.155056</v>
      </c>
      <c r="AN224">
        <v>34132166656</v>
      </c>
    </row>
    <row r="225" spans="1:40" x14ac:dyDescent="0.3">
      <c r="A225" s="1">
        <v>238</v>
      </c>
      <c r="B225" t="s">
        <v>566</v>
      </c>
      <c r="C225" t="s">
        <v>348</v>
      </c>
      <c r="D225">
        <v>0.16520001000000001</v>
      </c>
      <c r="E225">
        <v>2.792E-2</v>
      </c>
      <c r="F225">
        <v>5.5489999999999998E-2</v>
      </c>
      <c r="G225">
        <v>1867000064</v>
      </c>
      <c r="H225">
        <v>0.29699999999999999</v>
      </c>
      <c r="I225">
        <v>0.10193000000000001</v>
      </c>
      <c r="J225">
        <v>2355000064</v>
      </c>
      <c r="K225">
        <v>1040000000</v>
      </c>
      <c r="L225">
        <v>1290749952</v>
      </c>
      <c r="M225">
        <v>38.9</v>
      </c>
      <c r="O225">
        <v>2.39</v>
      </c>
      <c r="P225">
        <v>4.335E-2</v>
      </c>
      <c r="Q225">
        <v>180.941</v>
      </c>
      <c r="R225">
        <v>7.5990000000000002E-2</v>
      </c>
      <c r="S225">
        <v>2632000000</v>
      </c>
      <c r="T225">
        <v>10300999680</v>
      </c>
      <c r="U225">
        <v>14254999552</v>
      </c>
      <c r="V225">
        <v>2.94</v>
      </c>
      <c r="W225" t="s">
        <v>40</v>
      </c>
      <c r="X225">
        <v>16.016999999999999</v>
      </c>
      <c r="Y225">
        <v>1.56</v>
      </c>
      <c r="Z225" t="s">
        <v>42</v>
      </c>
      <c r="AA225" t="s">
        <v>567</v>
      </c>
      <c r="AB225">
        <v>2.1360000000000001</v>
      </c>
      <c r="AC225">
        <v>12.927</v>
      </c>
      <c r="AD225">
        <v>1.7</v>
      </c>
      <c r="AE225">
        <v>895116032</v>
      </c>
      <c r="AF225">
        <v>6.3550000000000004</v>
      </c>
      <c r="AG225">
        <v>0.44700000000000001</v>
      </c>
      <c r="AH225">
        <v>6.1211650000000004</v>
      </c>
      <c r="AI225">
        <v>2.9300001999999999E-3</v>
      </c>
      <c r="AJ225">
        <v>30443802624</v>
      </c>
      <c r="AL225">
        <v>0.4</v>
      </c>
      <c r="AM225">
        <v>22.882352999999998</v>
      </c>
      <c r="AN225">
        <v>34820014080</v>
      </c>
    </row>
    <row r="226" spans="1:40" x14ac:dyDescent="0.3">
      <c r="A226" s="1">
        <v>239</v>
      </c>
      <c r="B226" t="s">
        <v>568</v>
      </c>
      <c r="C226" t="s">
        <v>51</v>
      </c>
      <c r="D226">
        <v>0.29798000000000002</v>
      </c>
      <c r="E226">
        <v>1.0704899999999999</v>
      </c>
      <c r="F226">
        <v>0.72731999999999997</v>
      </c>
      <c r="G226">
        <v>3121999872</v>
      </c>
      <c r="H226">
        <v>0.108</v>
      </c>
      <c r="I226">
        <v>0.25192999999999999</v>
      </c>
      <c r="J226">
        <v>3475000064</v>
      </c>
      <c r="K226">
        <v>7798000000</v>
      </c>
      <c r="L226">
        <v>2165750016</v>
      </c>
      <c r="M226">
        <v>57.42</v>
      </c>
      <c r="N226">
        <v>-0.57499999999999996</v>
      </c>
      <c r="O226">
        <v>3.3530000000000002</v>
      </c>
      <c r="P226">
        <v>7.7030000000000001E-2</v>
      </c>
      <c r="Q226">
        <v>85.034000000000006</v>
      </c>
      <c r="R226">
        <v>0.28445998</v>
      </c>
      <c r="S226">
        <v>14561000448</v>
      </c>
      <c r="T226">
        <v>9306999808</v>
      </c>
      <c r="U226">
        <v>11662000128</v>
      </c>
      <c r="V226">
        <v>23.26</v>
      </c>
      <c r="W226" t="s">
        <v>40</v>
      </c>
      <c r="X226">
        <v>17.341000000000001</v>
      </c>
      <c r="Y226">
        <v>2.8740000000000001</v>
      </c>
      <c r="Z226" t="s">
        <v>42</v>
      </c>
      <c r="AA226" t="s">
        <v>569</v>
      </c>
      <c r="AB226">
        <v>3.0110000000000001</v>
      </c>
      <c r="AC226">
        <v>10.106</v>
      </c>
      <c r="AD226">
        <v>4.5199999999999996</v>
      </c>
      <c r="AE226">
        <v>626003968</v>
      </c>
      <c r="AF226">
        <v>17.291</v>
      </c>
      <c r="AG226">
        <v>18.280999999999999</v>
      </c>
      <c r="AH226">
        <v>3.3208025000000001</v>
      </c>
      <c r="AI226">
        <v>3.9669999999999997E-2</v>
      </c>
      <c r="AJ226">
        <v>35116982272</v>
      </c>
      <c r="AK226">
        <v>-0.60199999999999998</v>
      </c>
      <c r="AL226">
        <v>1.31</v>
      </c>
      <c r="AM226">
        <v>12.70354</v>
      </c>
      <c r="AN226">
        <v>35945148416</v>
      </c>
    </row>
    <row r="227" spans="1:40" x14ac:dyDescent="0.3">
      <c r="A227" s="1">
        <v>240</v>
      </c>
      <c r="B227" t="s">
        <v>571</v>
      </c>
      <c r="C227" t="s">
        <v>570</v>
      </c>
      <c r="D227">
        <v>0.44789000000000001</v>
      </c>
      <c r="E227">
        <v>0.23777999999999999</v>
      </c>
      <c r="F227">
        <v>0.64252995999999996</v>
      </c>
      <c r="G227">
        <v>1216099968</v>
      </c>
      <c r="H227">
        <v>0.08</v>
      </c>
      <c r="I227">
        <v>0.35977999999999999</v>
      </c>
      <c r="J227">
        <v>1319500032</v>
      </c>
      <c r="K227">
        <v>1790700000</v>
      </c>
      <c r="L227">
        <v>820774976</v>
      </c>
      <c r="M227">
        <v>208</v>
      </c>
      <c r="N227">
        <v>0.107</v>
      </c>
      <c r="O227">
        <v>0.50700000000000001</v>
      </c>
      <c r="P227">
        <v>8.9020009999999997E-2</v>
      </c>
      <c r="Q227">
        <v>124.735</v>
      </c>
      <c r="R227">
        <v>0.27184999999999998</v>
      </c>
      <c r="S227">
        <v>306700000</v>
      </c>
      <c r="T227">
        <v>3409999872</v>
      </c>
      <c r="U227">
        <v>2945999872</v>
      </c>
      <c r="V227">
        <v>1.903</v>
      </c>
      <c r="W227" t="s">
        <v>40</v>
      </c>
      <c r="X227">
        <v>18.166</v>
      </c>
      <c r="Y227">
        <v>0.432</v>
      </c>
      <c r="Z227" t="s">
        <v>42</v>
      </c>
      <c r="AA227" t="s">
        <v>572</v>
      </c>
      <c r="AB227">
        <v>13.19</v>
      </c>
      <c r="AC227">
        <v>29.448</v>
      </c>
      <c r="AD227">
        <v>5.98</v>
      </c>
      <c r="AE227">
        <v>161160992</v>
      </c>
      <c r="AF227">
        <v>16.815999999999999</v>
      </c>
      <c r="AG227">
        <v>4.28</v>
      </c>
      <c r="AH227">
        <v>12.369172000000001</v>
      </c>
      <c r="AI227">
        <v>1.0629998999999999E-2</v>
      </c>
      <c r="AJ227">
        <v>38857011200</v>
      </c>
      <c r="AK227">
        <v>8.5999999999999993E-2</v>
      </c>
      <c r="AL227">
        <v>4.32</v>
      </c>
      <c r="AM227">
        <v>34.782608000000003</v>
      </c>
      <c r="AN227">
        <v>33521485824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5D55-04B1-4A46-A210-AA11FB5CCFE0}">
  <dimension ref="A1:Q227"/>
  <sheetViews>
    <sheetView tabSelected="1" zoomScale="55" zoomScaleNormal="85" workbookViewId="0">
      <selection activeCell="F25" sqref="F25"/>
    </sheetView>
  </sheetViews>
  <sheetFormatPr defaultRowHeight="14.4" x14ac:dyDescent="0.3"/>
  <cols>
    <col min="1" max="1" width="11" style="31" bestFit="1" customWidth="1"/>
    <col min="2" max="2" width="34.6640625" style="6" bestFit="1" customWidth="1"/>
    <col min="3" max="3" width="40.77734375" style="6" bestFit="1" customWidth="1"/>
    <col min="4" max="4" width="22" style="31" bestFit="1" customWidth="1"/>
    <col min="5" max="5" width="25.21875" style="31" bestFit="1" customWidth="1"/>
    <col min="6" max="6" width="21.6640625" style="31" bestFit="1" customWidth="1"/>
    <col min="7" max="7" width="22" style="31" bestFit="1" customWidth="1"/>
    <col min="8" max="8" width="14.6640625" style="31" bestFit="1" customWidth="1"/>
    <col min="9" max="9" width="23.5546875" style="31" bestFit="1" customWidth="1"/>
    <col min="10" max="10" width="14.44140625" style="31" customWidth="1"/>
    <col min="11" max="11" width="20.77734375" style="31" bestFit="1" customWidth="1"/>
    <col min="12" max="12" width="21.33203125" style="31" bestFit="1" customWidth="1"/>
    <col min="13" max="13" width="20.21875" style="31" bestFit="1" customWidth="1"/>
    <col min="14" max="14" width="22.33203125" style="31" bestFit="1" customWidth="1"/>
    <col min="15" max="15" width="19.21875" style="31" bestFit="1" customWidth="1"/>
    <col min="16" max="16" width="21.33203125" style="31" bestFit="1" customWidth="1"/>
    <col min="17" max="17" width="20.6640625" style="31" bestFit="1" customWidth="1"/>
  </cols>
  <sheetData>
    <row r="1" spans="1:17" x14ac:dyDescent="0.3">
      <c r="A1" s="30" t="s">
        <v>573</v>
      </c>
      <c r="B1" s="33" t="s">
        <v>574</v>
      </c>
      <c r="C1" s="33" t="s">
        <v>575</v>
      </c>
      <c r="D1" s="5" t="s">
        <v>576</v>
      </c>
      <c r="E1" s="5" t="s">
        <v>577</v>
      </c>
      <c r="F1" s="5" t="s">
        <v>589</v>
      </c>
      <c r="G1" s="5" t="s">
        <v>578</v>
      </c>
      <c r="H1" s="5" t="s">
        <v>579</v>
      </c>
      <c r="I1" s="5" t="s">
        <v>580</v>
      </c>
      <c r="J1" s="5" t="s">
        <v>581</v>
      </c>
      <c r="K1" s="5" t="s">
        <v>583</v>
      </c>
      <c r="L1" s="5" t="s">
        <v>586</v>
      </c>
      <c r="M1" s="5" t="s">
        <v>587</v>
      </c>
      <c r="N1" s="5" t="s">
        <v>584</v>
      </c>
      <c r="O1" s="5" t="s">
        <v>585</v>
      </c>
      <c r="P1" s="5" t="s">
        <v>582</v>
      </c>
      <c r="Q1" s="5" t="s">
        <v>588</v>
      </c>
    </row>
    <row r="2" spans="1:17" x14ac:dyDescent="0.3">
      <c r="A2" s="1">
        <v>1</v>
      </c>
      <c r="B2" s="6" t="s">
        <v>41</v>
      </c>
      <c r="C2" s="6" t="s">
        <v>39</v>
      </c>
      <c r="D2" s="32">
        <v>0.26579002000000002</v>
      </c>
      <c r="E2" s="32">
        <v>0.112</v>
      </c>
      <c r="F2" s="31">
        <v>174.72</v>
      </c>
      <c r="G2" s="31">
        <v>1.038</v>
      </c>
      <c r="H2" s="32">
        <v>0.19875000000000001</v>
      </c>
      <c r="I2" s="31">
        <v>170.714</v>
      </c>
      <c r="J2" s="32">
        <v>1.45567</v>
      </c>
      <c r="K2" s="31" t="s">
        <v>43</v>
      </c>
      <c r="L2" s="31">
        <v>7.6920000000000002</v>
      </c>
      <c r="M2" s="31">
        <v>22.696999999999999</v>
      </c>
      <c r="N2" s="31">
        <v>39.691049999999997</v>
      </c>
      <c r="O2" s="31">
        <v>1.9</v>
      </c>
      <c r="P2" s="31">
        <v>26.634148</v>
      </c>
      <c r="Q2" s="31">
        <v>2851325607936</v>
      </c>
    </row>
    <row r="3" spans="1:17" x14ac:dyDescent="0.3">
      <c r="A3" s="1">
        <v>2</v>
      </c>
      <c r="B3" s="6" t="s">
        <v>45</v>
      </c>
      <c r="C3" s="6" t="s">
        <v>44</v>
      </c>
      <c r="D3" s="32">
        <v>0.38498001999999998</v>
      </c>
      <c r="E3" s="32">
        <v>0.20100000000000001</v>
      </c>
      <c r="F3" s="31">
        <v>303.68</v>
      </c>
      <c r="G3" s="31">
        <v>2.2469999999999999</v>
      </c>
      <c r="H3" s="32">
        <v>0.15248998999999999</v>
      </c>
      <c r="I3" s="31">
        <v>50.216999999999999</v>
      </c>
      <c r="J3" s="32">
        <v>0.49051</v>
      </c>
      <c r="K3" s="31" t="s">
        <v>46</v>
      </c>
      <c r="L3" s="31">
        <v>12.069000000000001</v>
      </c>
      <c r="M3" s="31">
        <v>24.57</v>
      </c>
      <c r="N3" s="31">
        <v>14.233889</v>
      </c>
      <c r="O3" s="31">
        <v>1.87</v>
      </c>
      <c r="P3" s="31">
        <v>28.249302</v>
      </c>
      <c r="Q3" s="31">
        <v>2276649336832</v>
      </c>
    </row>
    <row r="4" spans="1:17" x14ac:dyDescent="0.3">
      <c r="A4" s="1">
        <v>3</v>
      </c>
      <c r="B4" s="6" t="s">
        <v>48</v>
      </c>
      <c r="C4" s="6" t="s">
        <v>47</v>
      </c>
      <c r="D4" s="32">
        <v>0.29511999999999999</v>
      </c>
      <c r="E4" s="32">
        <v>0.32400000000000001</v>
      </c>
      <c r="F4" s="31">
        <v>2830.43</v>
      </c>
      <c r="G4" s="31">
        <v>2.9279999999999999</v>
      </c>
      <c r="H4" s="32">
        <v>0.14493</v>
      </c>
      <c r="I4" s="31">
        <v>11.329000000000001</v>
      </c>
      <c r="J4" s="32">
        <v>0.32068999999999998</v>
      </c>
      <c r="K4" s="31" t="s">
        <v>49</v>
      </c>
      <c r="L4" s="31">
        <v>6.83</v>
      </c>
      <c r="M4" s="31">
        <v>19.306999999999999</v>
      </c>
      <c r="N4" s="31">
        <v>7.4476376000000002</v>
      </c>
      <c r="O4" s="31">
        <v>1.22</v>
      </c>
      <c r="P4" s="31">
        <v>20.802807000000001</v>
      </c>
      <c r="Q4" s="31">
        <v>1872632217600</v>
      </c>
    </row>
    <row r="5" spans="1:17" x14ac:dyDescent="0.3">
      <c r="A5" s="1">
        <v>4</v>
      </c>
      <c r="B5" s="6" t="s">
        <v>48</v>
      </c>
      <c r="C5" s="6" t="s">
        <v>47</v>
      </c>
      <c r="D5" s="32">
        <v>0.29511999999999999</v>
      </c>
      <c r="E5" s="32">
        <v>0.32400000000000001</v>
      </c>
      <c r="F5" s="31">
        <v>2833.46</v>
      </c>
      <c r="G5" s="31">
        <v>2.9279999999999999</v>
      </c>
      <c r="H5" s="32">
        <v>0.14493</v>
      </c>
      <c r="I5" s="31">
        <v>11.329000000000001</v>
      </c>
      <c r="J5" s="32">
        <v>0.32068999999999998</v>
      </c>
      <c r="K5" s="31" t="s">
        <v>50</v>
      </c>
      <c r="L5" s="31">
        <v>6.8380000000000001</v>
      </c>
      <c r="M5" s="31">
        <v>19.329000000000001</v>
      </c>
      <c r="N5" s="31">
        <v>7.4556103</v>
      </c>
      <c r="O5" s="31">
        <v>1.22</v>
      </c>
      <c r="P5" s="31">
        <v>20.841926999999998</v>
      </c>
      <c r="Q5" s="31">
        <v>1871194226688</v>
      </c>
    </row>
    <row r="6" spans="1:17" x14ac:dyDescent="0.3">
      <c r="A6" s="1">
        <v>5</v>
      </c>
      <c r="B6" s="6" t="s">
        <v>52</v>
      </c>
      <c r="C6" s="6" t="s">
        <v>51</v>
      </c>
      <c r="D6" s="32">
        <v>7.1010000000000004E-2</v>
      </c>
      <c r="E6" s="32">
        <v>9.4E-2</v>
      </c>
      <c r="F6" s="31">
        <v>3295.47</v>
      </c>
      <c r="G6" s="31">
        <v>1.1359999999999999</v>
      </c>
      <c r="H6" s="32">
        <v>4.1929998000000003E-2</v>
      </c>
      <c r="I6" s="31">
        <v>100.864</v>
      </c>
      <c r="J6" s="32">
        <v>0.28805999999999998</v>
      </c>
      <c r="K6" s="31" t="s">
        <v>53</v>
      </c>
      <c r="L6" s="31">
        <v>3.6619999999999999</v>
      </c>
      <c r="M6" s="31">
        <v>29.071000000000002</v>
      </c>
      <c r="N6" s="31">
        <v>12.133495999999999</v>
      </c>
      <c r="O6" s="31">
        <v>1.93</v>
      </c>
      <c r="P6" s="31">
        <v>45.236378000000002</v>
      </c>
      <c r="Q6" s="31">
        <v>1676880117760</v>
      </c>
    </row>
    <row r="7" spans="1:17" x14ac:dyDescent="0.3">
      <c r="A7" s="1">
        <v>7</v>
      </c>
      <c r="B7" s="6" t="s">
        <v>55</v>
      </c>
      <c r="C7" s="6" t="s">
        <v>54</v>
      </c>
      <c r="D7" s="32">
        <v>7.4029999999999999E-2</v>
      </c>
      <c r="E7" s="32">
        <v>0.56799999999999995</v>
      </c>
      <c r="F7" s="31">
        <v>1010.64</v>
      </c>
      <c r="G7" s="31">
        <v>1.385</v>
      </c>
      <c r="H7" s="32">
        <v>5.5370003000000001E-2</v>
      </c>
      <c r="I7" s="31">
        <v>35.65</v>
      </c>
      <c r="J7" s="32">
        <v>0.15640999999999999</v>
      </c>
      <c r="K7" s="31" t="s">
        <v>56</v>
      </c>
      <c r="L7" s="31">
        <v>24.547000000000001</v>
      </c>
      <c r="M7" s="31">
        <v>158.249</v>
      </c>
      <c r="N7" s="31">
        <v>37.507514999999998</v>
      </c>
      <c r="O7" s="31">
        <v>2.52</v>
      </c>
      <c r="P7" s="31">
        <v>115.369865</v>
      </c>
      <c r="Q7" s="31">
        <v>1014945284096</v>
      </c>
    </row>
    <row r="8" spans="1:17" x14ac:dyDescent="0.3">
      <c r="A8" s="1">
        <v>8</v>
      </c>
      <c r="B8" s="6" t="s">
        <v>58</v>
      </c>
      <c r="C8" s="6" t="s">
        <v>57</v>
      </c>
      <c r="D8" s="32">
        <v>0.33806000000000003</v>
      </c>
      <c r="E8" s="32">
        <v>0.503</v>
      </c>
      <c r="F8" s="31">
        <v>276.92</v>
      </c>
      <c r="G8" s="31">
        <v>7.1449999999999996</v>
      </c>
      <c r="H8" s="32">
        <v>0.15934000000000001</v>
      </c>
      <c r="I8" s="31">
        <v>49.697000000000003</v>
      </c>
      <c r="J8" s="32">
        <v>0.41939998000000001</v>
      </c>
      <c r="K8" s="31" t="s">
        <v>59</v>
      </c>
      <c r="L8" s="31">
        <v>29.858000000000001</v>
      </c>
      <c r="M8" s="31">
        <v>74.268000000000001</v>
      </c>
      <c r="N8" s="31">
        <v>29.112701000000001</v>
      </c>
      <c r="O8" s="31">
        <v>1.71</v>
      </c>
      <c r="P8" s="31">
        <v>53.151634000000001</v>
      </c>
      <c r="Q8" s="31">
        <v>690084642816</v>
      </c>
    </row>
    <row r="9" spans="1:17" x14ac:dyDescent="0.3">
      <c r="A9" s="1">
        <v>9</v>
      </c>
      <c r="B9" s="6" t="s">
        <v>60</v>
      </c>
      <c r="C9" s="6" t="s">
        <v>47</v>
      </c>
      <c r="D9" s="32">
        <v>0.33383997999999998</v>
      </c>
      <c r="E9" s="32">
        <v>0.19900000000000001</v>
      </c>
      <c r="F9" s="31">
        <v>221.82</v>
      </c>
      <c r="G9" s="31">
        <v>3.1539999999999999</v>
      </c>
      <c r="H9" s="32">
        <v>0.17965001</v>
      </c>
      <c r="I9" s="31">
        <v>11.574</v>
      </c>
      <c r="J9" s="32">
        <v>0.31102000000000002</v>
      </c>
      <c r="K9" s="31" t="s">
        <v>61</v>
      </c>
      <c r="L9" s="31">
        <v>4.5860000000000003</v>
      </c>
      <c r="M9" s="31">
        <v>9.8840000000000003</v>
      </c>
      <c r="N9" s="31">
        <v>4.6456394000000003</v>
      </c>
      <c r="O9" s="31">
        <v>1.1299999999999999</v>
      </c>
      <c r="P9" s="31">
        <v>15.588195000000001</v>
      </c>
      <c r="Q9" s="31">
        <v>617050013696</v>
      </c>
    </row>
    <row r="10" spans="1:17" x14ac:dyDescent="0.3">
      <c r="A10" s="1">
        <v>10</v>
      </c>
      <c r="B10" s="6" t="s">
        <v>63</v>
      </c>
      <c r="C10" s="6" t="s">
        <v>62</v>
      </c>
      <c r="D10" s="32">
        <v>5.5230000000000001E-2</v>
      </c>
      <c r="E10" s="32">
        <v>0.111</v>
      </c>
      <c r="F10" s="31">
        <v>513.03</v>
      </c>
      <c r="G10" s="31">
        <v>0.72</v>
      </c>
      <c r="H10" s="32">
        <v>6.7900000000000002E-2</v>
      </c>
      <c r="I10" s="31">
        <v>62.929000000000002</v>
      </c>
      <c r="J10" s="32">
        <v>0.21984999999999999</v>
      </c>
      <c r="K10" s="31" t="s">
        <v>64</v>
      </c>
      <c r="L10" s="31">
        <v>1.754</v>
      </c>
      <c r="M10" s="31">
        <v>20.242999999999999</v>
      </c>
      <c r="N10" s="31">
        <v>6.8766170000000004</v>
      </c>
      <c r="O10" s="31">
        <v>1.84</v>
      </c>
      <c r="P10" s="31">
        <v>23.696536999999999</v>
      </c>
      <c r="Q10" s="31">
        <v>483197845504</v>
      </c>
    </row>
    <row r="11" spans="1:17" x14ac:dyDescent="0.3">
      <c r="A11" s="1">
        <v>11</v>
      </c>
      <c r="B11" s="6" t="s">
        <v>66</v>
      </c>
      <c r="C11" s="6" t="s">
        <v>65</v>
      </c>
      <c r="D11" s="32">
        <v>0.51592000000000005</v>
      </c>
      <c r="E11" s="32">
        <v>0.24099999999999999</v>
      </c>
      <c r="F11" s="31">
        <v>218.43</v>
      </c>
      <c r="G11" s="31">
        <v>1.395</v>
      </c>
      <c r="H11" s="32">
        <v>0.13034999999999999</v>
      </c>
      <c r="I11" s="31">
        <v>57.8</v>
      </c>
      <c r="J11" s="32">
        <v>0.35584998000000001</v>
      </c>
      <c r="K11" s="31" t="s">
        <v>67</v>
      </c>
      <c r="L11" s="31">
        <v>18.202999999999999</v>
      </c>
      <c r="M11" s="31">
        <v>26.149000000000001</v>
      </c>
    </row>
    <row r="12" spans="1:17" x14ac:dyDescent="0.3">
      <c r="A12" s="1">
        <v>13</v>
      </c>
      <c r="B12" s="6" t="s">
        <v>69</v>
      </c>
      <c r="C12" s="6" t="s">
        <v>68</v>
      </c>
      <c r="D12" s="32">
        <v>0.22264</v>
      </c>
      <c r="E12" s="32">
        <v>0.104</v>
      </c>
      <c r="F12" s="31">
        <v>176.92</v>
      </c>
      <c r="G12" s="31">
        <v>1.3480000000000001</v>
      </c>
      <c r="H12" s="32">
        <v>8.8419999999999999E-2</v>
      </c>
      <c r="I12" s="31">
        <v>46.945999999999998</v>
      </c>
      <c r="J12" s="32">
        <v>0.30412</v>
      </c>
      <c r="K12" s="31" t="s">
        <v>70</v>
      </c>
      <c r="L12" s="31">
        <v>4.4669999999999996</v>
      </c>
      <c r="M12" s="31">
        <v>12.836</v>
      </c>
      <c r="N12" s="31">
        <v>6.6277065000000004</v>
      </c>
      <c r="O12" s="31">
        <v>2.13</v>
      </c>
      <c r="P12" s="31">
        <v>17.044315000000001</v>
      </c>
      <c r="Q12" s="31">
        <v>465759600640</v>
      </c>
    </row>
    <row r="13" spans="1:17" x14ac:dyDescent="0.3">
      <c r="A13" s="1">
        <v>14</v>
      </c>
      <c r="B13" s="6" t="s">
        <v>72</v>
      </c>
      <c r="C13" s="6" t="s">
        <v>71</v>
      </c>
      <c r="D13" s="32">
        <v>2.3869999999999999E-2</v>
      </c>
      <c r="E13" s="32">
        <v>5.0000000000000001E-3</v>
      </c>
      <c r="F13" s="31">
        <v>143.44999999999999</v>
      </c>
      <c r="G13" s="31">
        <v>0.92800000000000005</v>
      </c>
      <c r="H13" s="32">
        <v>6.5199999999999994E-2</v>
      </c>
      <c r="I13" s="31">
        <v>62.381999999999998</v>
      </c>
      <c r="J13" s="32">
        <v>0.15539</v>
      </c>
      <c r="K13" s="31" t="s">
        <v>73</v>
      </c>
      <c r="L13" s="31">
        <v>0.74299999999999999</v>
      </c>
      <c r="M13" s="31">
        <v>11.625</v>
      </c>
      <c r="N13" s="31">
        <v>4.8436655999999996</v>
      </c>
      <c r="O13" s="31">
        <v>2.73</v>
      </c>
      <c r="P13" s="31">
        <v>21.346724999999999</v>
      </c>
      <c r="Q13" s="31">
        <v>397913096192</v>
      </c>
    </row>
    <row r="14" spans="1:17" x14ac:dyDescent="0.3">
      <c r="A14" s="1">
        <v>15</v>
      </c>
      <c r="B14" s="6" t="s">
        <v>75</v>
      </c>
      <c r="C14" s="6" t="s">
        <v>74</v>
      </c>
      <c r="D14" s="32">
        <v>0.1852</v>
      </c>
      <c r="E14" s="32">
        <v>6.0999999999999999E-2</v>
      </c>
      <c r="F14" s="31">
        <v>152.83000000000001</v>
      </c>
      <c r="G14" s="31">
        <v>0.67200000000000004</v>
      </c>
      <c r="H14" s="32">
        <v>9.5140000000000002E-2</v>
      </c>
      <c r="I14" s="31">
        <v>79.418000000000006</v>
      </c>
      <c r="J14" s="32">
        <v>0.31091999999999997</v>
      </c>
      <c r="K14" s="31" t="s">
        <v>76</v>
      </c>
      <c r="L14" s="31">
        <v>4.9649999999999999</v>
      </c>
      <c r="M14" s="31">
        <v>18.375</v>
      </c>
      <c r="N14" s="31">
        <v>8.1727270000000001</v>
      </c>
      <c r="O14" s="31">
        <v>3.98</v>
      </c>
      <c r="P14" s="31">
        <v>24.029875000000001</v>
      </c>
      <c r="Q14" s="31">
        <v>369840979968</v>
      </c>
    </row>
    <row r="15" spans="1:17" x14ac:dyDescent="0.3">
      <c r="A15" s="1">
        <v>17</v>
      </c>
      <c r="B15" s="6" t="s">
        <v>78</v>
      </c>
      <c r="C15" s="6" t="s">
        <v>77</v>
      </c>
      <c r="D15" s="32">
        <v>8.2589999999999997E-2</v>
      </c>
      <c r="E15" s="32">
        <v>0.79400000000000004</v>
      </c>
      <c r="F15" s="31">
        <v>85.2</v>
      </c>
      <c r="G15" s="31">
        <v>1.044</v>
      </c>
      <c r="H15" s="32">
        <v>4.9840003000000001E-2</v>
      </c>
      <c r="I15" s="31">
        <v>30.184000000000001</v>
      </c>
      <c r="J15" s="32">
        <v>0.13889000000000001</v>
      </c>
      <c r="K15" s="31" t="s">
        <v>79</v>
      </c>
      <c r="L15" s="31">
        <v>1.341</v>
      </c>
      <c r="M15" s="31">
        <v>8.1029999999999998</v>
      </c>
      <c r="N15" s="31">
        <v>2.2461245000000001</v>
      </c>
      <c r="O15" s="31">
        <v>13.11</v>
      </c>
      <c r="P15" s="31">
        <v>14.489795000000001</v>
      </c>
      <c r="Q15" s="31">
        <v>363009933312</v>
      </c>
    </row>
    <row r="16" spans="1:17" x14ac:dyDescent="0.3">
      <c r="A16" s="1">
        <v>18</v>
      </c>
      <c r="B16" s="6" t="s">
        <v>80</v>
      </c>
      <c r="C16" s="6" t="s">
        <v>65</v>
      </c>
      <c r="D16" s="32">
        <v>0.46001998</v>
      </c>
      <c r="E16" s="32">
        <v>0.26600000000000001</v>
      </c>
      <c r="F16" s="31">
        <v>349.02</v>
      </c>
      <c r="G16" s="31">
        <v>1.288</v>
      </c>
      <c r="H16" s="32">
        <v>0.18013000000000001</v>
      </c>
      <c r="I16" s="31">
        <v>197.96299999999999</v>
      </c>
      <c r="J16" s="32">
        <v>1.2473301000000001</v>
      </c>
      <c r="K16" s="31" t="s">
        <v>81</v>
      </c>
      <c r="L16" s="31">
        <v>19.041</v>
      </c>
      <c r="M16" s="31">
        <v>32.706000000000003</v>
      </c>
      <c r="N16" s="31">
        <v>51.221012000000002</v>
      </c>
      <c r="O16" s="31">
        <v>1.73</v>
      </c>
      <c r="P16" s="31">
        <v>33.145297999999997</v>
      </c>
      <c r="Q16" s="31">
        <v>342932029440</v>
      </c>
    </row>
    <row r="17" spans="1:17" x14ac:dyDescent="0.3">
      <c r="A17" s="1">
        <v>19</v>
      </c>
      <c r="B17" s="6" t="s">
        <v>83</v>
      </c>
      <c r="C17" s="6" t="s">
        <v>82</v>
      </c>
      <c r="D17" s="32">
        <v>0.10791001</v>
      </c>
      <c r="E17" s="32">
        <v>9.8000000000000004E-2</v>
      </c>
      <c r="F17" s="31">
        <v>310.68</v>
      </c>
      <c r="G17" s="31">
        <v>1.1319999999999999</v>
      </c>
      <c r="H17" s="32">
        <v>0.20454</v>
      </c>
      <c r="I17" s="31">
        <v>4373.43</v>
      </c>
      <c r="J17" s="32">
        <v>12.4031105</v>
      </c>
      <c r="K17" s="31" t="s">
        <v>84</v>
      </c>
      <c r="L17" s="31">
        <v>3.1909999999999998</v>
      </c>
      <c r="M17" s="31">
        <v>18.343</v>
      </c>
      <c r="N17" s="31">
        <v>314.13547</v>
      </c>
      <c r="O17" s="31">
        <v>1.95</v>
      </c>
      <c r="P17" s="31">
        <v>19.189623000000001</v>
      </c>
      <c r="Q17" s="31">
        <v>324424466432</v>
      </c>
    </row>
    <row r="18" spans="1:17" x14ac:dyDescent="0.3">
      <c r="A18" s="1">
        <v>20</v>
      </c>
      <c r="B18" s="6" t="s">
        <v>85</v>
      </c>
      <c r="C18" s="6" t="s">
        <v>77</v>
      </c>
      <c r="D18" s="32">
        <v>0.10041000999999999</v>
      </c>
      <c r="E18" s="32">
        <v>0.84599999999999997</v>
      </c>
      <c r="F18" s="31">
        <v>169.31</v>
      </c>
      <c r="H18" s="32"/>
      <c r="I18" s="31">
        <v>27.315999999999999</v>
      </c>
      <c r="J18" s="32">
        <v>0.116450004</v>
      </c>
      <c r="K18" s="31" t="s">
        <v>86</v>
      </c>
      <c r="L18" s="31">
        <v>1.877</v>
      </c>
      <c r="M18" s="31">
        <v>8.7479999999999993</v>
      </c>
      <c r="N18" s="31">
        <v>2.4022760000000001</v>
      </c>
      <c r="O18" s="31">
        <v>-2.98</v>
      </c>
      <c r="P18" s="31">
        <v>17.803363999999998</v>
      </c>
      <c r="Q18" s="31">
        <v>326377177088</v>
      </c>
    </row>
    <row r="19" spans="1:17" x14ac:dyDescent="0.3">
      <c r="A19" s="1">
        <v>21</v>
      </c>
      <c r="B19" s="6" t="s">
        <v>87</v>
      </c>
      <c r="C19" s="6" t="s">
        <v>68</v>
      </c>
      <c r="D19" s="32">
        <v>0.28683999999999998</v>
      </c>
      <c r="E19" s="32">
        <v>1.3440000000000001</v>
      </c>
      <c r="F19" s="31">
        <v>52.78</v>
      </c>
      <c r="G19" s="31">
        <v>1.385</v>
      </c>
      <c r="H19" s="32">
        <v>7.7770000000000006E-2</v>
      </c>
      <c r="I19" s="31">
        <v>52.496000000000002</v>
      </c>
      <c r="J19" s="32">
        <v>0.27746999999999999</v>
      </c>
      <c r="K19" s="31" t="s">
        <v>88</v>
      </c>
      <c r="L19" s="31">
        <v>4.5650000000000004</v>
      </c>
      <c r="M19" s="31">
        <v>11.592000000000001</v>
      </c>
      <c r="N19" s="31">
        <v>3.9125277999999999</v>
      </c>
      <c r="O19" s="31">
        <v>0.01</v>
      </c>
      <c r="P19" s="31">
        <v>1.0677726000000001</v>
      </c>
      <c r="Q19" s="31">
        <v>296247263232</v>
      </c>
    </row>
    <row r="20" spans="1:17" x14ac:dyDescent="0.3">
      <c r="A20" s="1">
        <v>22</v>
      </c>
      <c r="B20" s="6" t="s">
        <v>89</v>
      </c>
      <c r="C20" s="6" t="s">
        <v>68</v>
      </c>
      <c r="D20" s="32">
        <v>0.20538001</v>
      </c>
      <c r="E20" s="32">
        <v>7.3999999999999996E-2</v>
      </c>
      <c r="F20" s="31">
        <v>161.33000000000001</v>
      </c>
      <c r="H20" s="32"/>
      <c r="I20" s="31">
        <v>594.66</v>
      </c>
      <c r="J20" s="32">
        <v>0.86594002999999997</v>
      </c>
      <c r="K20" s="31" t="s">
        <v>90</v>
      </c>
      <c r="L20" s="31">
        <v>5.8079999999999998</v>
      </c>
      <c r="M20" s="31">
        <v>11.55</v>
      </c>
      <c r="N20" s="31">
        <v>21.047619000000001</v>
      </c>
      <c r="O20" s="31">
        <v>2.38</v>
      </c>
      <c r="P20" s="31">
        <v>11.548318</v>
      </c>
      <c r="Q20" s="31">
        <v>285212082176</v>
      </c>
    </row>
    <row r="21" spans="1:17" x14ac:dyDescent="0.3">
      <c r="A21" s="1">
        <v>23</v>
      </c>
      <c r="B21" s="6" t="s">
        <v>91</v>
      </c>
      <c r="C21" s="6" t="s">
        <v>68</v>
      </c>
      <c r="D21" s="32">
        <v>0.21515000000000001</v>
      </c>
      <c r="E21" s="32">
        <v>0.18</v>
      </c>
      <c r="F21" s="31">
        <v>289.02</v>
      </c>
      <c r="G21" s="31">
        <v>1.302</v>
      </c>
      <c r="H21" s="32">
        <v>0.11108</v>
      </c>
      <c r="I21" s="31">
        <v>215.45</v>
      </c>
      <c r="J21" s="32">
        <v>0.92237000000000002</v>
      </c>
      <c r="K21" s="31" t="s">
        <v>92</v>
      </c>
      <c r="L21" s="31">
        <v>8.9550000000000001</v>
      </c>
      <c r="M21" s="31">
        <v>25.742000000000001</v>
      </c>
      <c r="N21" s="31">
        <v>33.7956</v>
      </c>
      <c r="O21" s="31">
        <v>5.2</v>
      </c>
      <c r="P21" s="31">
        <v>38.587449999999997</v>
      </c>
      <c r="Q21" s="31">
        <v>276474200064</v>
      </c>
    </row>
    <row r="22" spans="1:17" x14ac:dyDescent="0.3">
      <c r="A22" s="1">
        <v>24</v>
      </c>
      <c r="B22" s="6" t="s">
        <v>94</v>
      </c>
      <c r="C22" s="6" t="s">
        <v>93</v>
      </c>
      <c r="D22" s="32">
        <v>0.23313998999999999</v>
      </c>
      <c r="E22" s="32">
        <v>0.161</v>
      </c>
      <c r="F22" s="31">
        <v>61.53</v>
      </c>
      <c r="G22" s="31">
        <v>1.516</v>
      </c>
      <c r="H22" s="32">
        <v>7.8310000000000005E-2</v>
      </c>
      <c r="I22" s="31">
        <v>172.82599999999999</v>
      </c>
      <c r="J22" s="32">
        <v>0.39722002000000001</v>
      </c>
      <c r="K22" s="31" t="s">
        <v>95</v>
      </c>
      <c r="L22" s="31">
        <v>7.6509999999999998</v>
      </c>
      <c r="M22" s="31">
        <v>21.734999999999999</v>
      </c>
      <c r="N22" s="31">
        <v>11.982472</v>
      </c>
      <c r="O22" s="31">
        <v>2.72</v>
      </c>
      <c r="P22" s="31">
        <v>25.320986000000001</v>
      </c>
      <c r="Q22" s="31">
        <v>265773907968</v>
      </c>
    </row>
    <row r="23" spans="1:17" x14ac:dyDescent="0.3">
      <c r="A23" s="1">
        <v>25</v>
      </c>
      <c r="B23" s="6" t="s">
        <v>96</v>
      </c>
      <c r="C23" s="6" t="s">
        <v>57</v>
      </c>
      <c r="D23" s="32">
        <v>0.24539</v>
      </c>
      <c r="E23" s="32">
        <v>0.14499999999999999</v>
      </c>
      <c r="F23" s="31">
        <v>628.87</v>
      </c>
      <c r="G23" s="31">
        <v>2.641</v>
      </c>
      <c r="H23" s="32">
        <v>7.1639999999999995E-2</v>
      </c>
      <c r="I23" s="31">
        <v>161.16300000000001</v>
      </c>
      <c r="J23" s="32">
        <v>0.27556000000000003</v>
      </c>
      <c r="K23" s="31" t="s">
        <v>97</v>
      </c>
      <c r="L23" s="31">
        <v>9.65</v>
      </c>
      <c r="M23" s="31">
        <v>17.989999999999998</v>
      </c>
      <c r="N23" s="31">
        <v>10.404692000000001</v>
      </c>
      <c r="O23" s="31">
        <v>1.38</v>
      </c>
      <c r="P23" s="31">
        <v>17.444383999999999</v>
      </c>
      <c r="Q23" s="31">
        <v>259644063744</v>
      </c>
    </row>
    <row r="24" spans="1:17" x14ac:dyDescent="0.3">
      <c r="A24" s="1">
        <v>26</v>
      </c>
      <c r="B24" s="6" t="s">
        <v>99</v>
      </c>
      <c r="C24" s="6" t="s">
        <v>98</v>
      </c>
      <c r="D24" s="32">
        <v>2.9590001000000001E-2</v>
      </c>
      <c r="E24" s="32">
        <v>0.26</v>
      </c>
      <c r="F24" s="31">
        <v>139.13999999999999</v>
      </c>
      <c r="G24" s="31">
        <v>1.083</v>
      </c>
      <c r="H24" s="32">
        <v>1.07700005E-2</v>
      </c>
      <c r="I24" s="31">
        <v>57.043999999999997</v>
      </c>
      <c r="J24" s="32">
        <v>2.5390000999999999E-2</v>
      </c>
      <c r="K24" s="31" t="s">
        <v>100</v>
      </c>
      <c r="L24" s="31">
        <v>5.03</v>
      </c>
      <c r="M24" s="31">
        <v>39.414999999999999</v>
      </c>
      <c r="N24" s="31">
        <v>2.8565562</v>
      </c>
      <c r="O24" s="31">
        <v>1.07</v>
      </c>
      <c r="P24" s="31">
        <v>27.498024000000001</v>
      </c>
      <c r="Q24" s="31">
        <v>252909207552</v>
      </c>
    </row>
    <row r="25" spans="1:17" x14ac:dyDescent="0.3">
      <c r="A25" s="1">
        <v>27</v>
      </c>
      <c r="B25" s="6" t="s">
        <v>101</v>
      </c>
      <c r="C25" s="6" t="s">
        <v>71</v>
      </c>
      <c r="D25" s="32">
        <v>2.5430000000000001E-2</v>
      </c>
      <c r="E25" s="32">
        <v>0.16600000000000001</v>
      </c>
      <c r="F25" s="31">
        <v>555.71</v>
      </c>
      <c r="G25" s="31">
        <v>1.0149999999999999</v>
      </c>
      <c r="H25" s="32">
        <v>7.6429999999999998E-2</v>
      </c>
      <c r="I25" s="31">
        <v>53.237000000000002</v>
      </c>
      <c r="J25" s="32">
        <v>0.30563000000000001</v>
      </c>
      <c r="K25" s="31" t="s">
        <v>102</v>
      </c>
      <c r="L25" s="31">
        <v>1.105</v>
      </c>
      <c r="M25" s="31">
        <v>23.838000000000001</v>
      </c>
      <c r="N25" s="31">
        <v>13.346864</v>
      </c>
      <c r="O25" s="31">
        <v>4.42</v>
      </c>
      <c r="P25" s="31">
        <v>39.807310000000001</v>
      </c>
      <c r="Q25" s="31">
        <v>246419603456</v>
      </c>
    </row>
    <row r="26" spans="1:17" x14ac:dyDescent="0.3">
      <c r="A26" s="1">
        <v>28</v>
      </c>
      <c r="B26" s="6" t="s">
        <v>103</v>
      </c>
      <c r="C26" s="6" t="s">
        <v>93</v>
      </c>
      <c r="D26" s="32">
        <v>0.10617</v>
      </c>
      <c r="E26" s="32">
        <v>0.11600000000000001</v>
      </c>
      <c r="F26" s="31">
        <v>165.24</v>
      </c>
      <c r="G26" s="31">
        <v>0.94499999999999995</v>
      </c>
      <c r="H26" s="32">
        <v>7.9840004000000006E-2</v>
      </c>
      <c r="I26" s="31">
        <v>258.017</v>
      </c>
      <c r="J26" s="32">
        <v>0.55412996000000003</v>
      </c>
      <c r="K26" s="31" t="s">
        <v>104</v>
      </c>
      <c r="L26" s="31">
        <v>3.5739999999999998</v>
      </c>
      <c r="M26" s="31">
        <v>19.734999999999999</v>
      </c>
      <c r="N26" s="31">
        <v>14.388714999999999</v>
      </c>
      <c r="O26" s="31">
        <v>2.85</v>
      </c>
      <c r="P26" s="31">
        <v>24.516321000000001</v>
      </c>
      <c r="Q26" s="31">
        <v>228469096448</v>
      </c>
    </row>
    <row r="27" spans="1:17" x14ac:dyDescent="0.3">
      <c r="A27" s="1">
        <v>29</v>
      </c>
      <c r="B27" s="6" t="s">
        <v>106</v>
      </c>
      <c r="C27" s="6" t="s">
        <v>105</v>
      </c>
      <c r="D27" s="32">
        <v>0.22439999999999999</v>
      </c>
      <c r="E27" s="32">
        <v>8.1000000000000003E-2</v>
      </c>
      <c r="F27" s="31">
        <v>54.97</v>
      </c>
      <c r="G27" s="31">
        <v>1.6180000000000001</v>
      </c>
      <c r="H27" s="32">
        <v>9.196E-2</v>
      </c>
      <c r="I27" s="31">
        <v>25.032</v>
      </c>
      <c r="J27" s="32">
        <v>0.28190001999999997</v>
      </c>
      <c r="K27" s="31" t="s">
        <v>107</v>
      </c>
      <c r="L27" s="31">
        <v>4.2270000000000003</v>
      </c>
      <c r="M27" s="31">
        <v>13.532</v>
      </c>
      <c r="N27" s="31">
        <v>5.4285994000000004</v>
      </c>
      <c r="O27" s="31">
        <v>2.73</v>
      </c>
      <c r="P27" s="31">
        <v>14.9375</v>
      </c>
      <c r="Q27" s="31">
        <v>231842021376</v>
      </c>
    </row>
    <row r="28" spans="1:17" x14ac:dyDescent="0.3">
      <c r="A28" s="1">
        <v>30</v>
      </c>
      <c r="B28" s="6" t="s">
        <v>109</v>
      </c>
      <c r="C28" s="6" t="s">
        <v>108</v>
      </c>
      <c r="D28" s="32">
        <v>0.19700999999999999</v>
      </c>
      <c r="E28" s="32">
        <v>1.4E-2</v>
      </c>
      <c r="F28" s="31">
        <v>574.29</v>
      </c>
      <c r="G28" s="31">
        <v>1.504</v>
      </c>
      <c r="H28" s="32">
        <v>7.8009999999999996E-2</v>
      </c>
      <c r="I28" s="31">
        <v>85.096999999999994</v>
      </c>
      <c r="J28" s="32">
        <v>0.20476</v>
      </c>
      <c r="K28" s="31" t="s">
        <v>110</v>
      </c>
      <c r="L28" s="31">
        <v>6.2060000000000004</v>
      </c>
      <c r="M28" s="31">
        <v>18.986000000000001</v>
      </c>
      <c r="N28" s="31">
        <v>5.8459640000000004</v>
      </c>
      <c r="O28" s="31">
        <v>2.23</v>
      </c>
      <c r="P28" s="31">
        <v>26.428439999999998</v>
      </c>
      <c r="Q28" s="31">
        <v>226297823232</v>
      </c>
    </row>
    <row r="29" spans="1:17" x14ac:dyDescent="0.3">
      <c r="A29" s="1">
        <v>31</v>
      </c>
      <c r="B29" s="6" t="s">
        <v>111</v>
      </c>
      <c r="C29" s="6" t="s">
        <v>44</v>
      </c>
      <c r="D29" s="32">
        <v>0.24787999999999999</v>
      </c>
      <c r="E29" s="32">
        <v>5.7000000000000002E-2</v>
      </c>
      <c r="F29" s="31">
        <v>81.73</v>
      </c>
      <c r="G29" s="31">
        <v>1.6459999999999999</v>
      </c>
      <c r="H29" s="32">
        <v>9.1999999999999998E-2</v>
      </c>
      <c r="I29" s="31">
        <v>0</v>
      </c>
      <c r="J29" s="32"/>
      <c r="K29" s="31" t="s">
        <v>112</v>
      </c>
      <c r="L29" s="31">
        <v>6.2880000000000003</v>
      </c>
      <c r="M29" s="31">
        <v>14.141</v>
      </c>
      <c r="O29" s="31">
        <v>1.91</v>
      </c>
      <c r="P29" s="31">
        <v>15.538023000000001</v>
      </c>
      <c r="Q29" s="31">
        <v>218255884288</v>
      </c>
    </row>
    <row r="30" spans="1:17" x14ac:dyDescent="0.3">
      <c r="A30" s="1">
        <v>32</v>
      </c>
      <c r="B30" s="6" t="s">
        <v>114</v>
      </c>
      <c r="C30" s="6" t="s">
        <v>113</v>
      </c>
      <c r="D30" s="32">
        <v>0.11533</v>
      </c>
      <c r="E30" s="32">
        <v>0.27200000000000002</v>
      </c>
      <c r="F30" s="31">
        <v>327.71</v>
      </c>
      <c r="G30" s="31">
        <v>1.2230000000000001</v>
      </c>
      <c r="H30" s="32">
        <v>0.124560006</v>
      </c>
      <c r="I30" s="31">
        <v>16.606999999999999</v>
      </c>
      <c r="J30" s="32">
        <v>0.31947999999999999</v>
      </c>
      <c r="K30" s="31" t="s">
        <v>115</v>
      </c>
      <c r="L30" s="31">
        <v>4.1980000000000004</v>
      </c>
      <c r="M30" s="31">
        <v>24.983000000000001</v>
      </c>
      <c r="N30" s="31">
        <v>10.177329</v>
      </c>
      <c r="O30" s="31">
        <v>3.82</v>
      </c>
      <c r="P30" s="31">
        <v>31.359808000000001</v>
      </c>
      <c r="Q30" s="31">
        <v>207279521792</v>
      </c>
    </row>
    <row r="31" spans="1:17" x14ac:dyDescent="0.3">
      <c r="A31" s="1">
        <v>33</v>
      </c>
      <c r="B31" s="6" t="s">
        <v>117</v>
      </c>
      <c r="C31" s="6" t="s">
        <v>116</v>
      </c>
      <c r="D31" s="32">
        <v>0.16419001</v>
      </c>
      <c r="E31" s="32">
        <v>4.2999999999999997E-2</v>
      </c>
      <c r="F31" s="31">
        <v>51.28</v>
      </c>
      <c r="G31" s="31">
        <v>0.97399999999999998</v>
      </c>
      <c r="H31" s="32">
        <v>6.5229999999999996E-2</v>
      </c>
      <c r="I31" s="31">
        <v>228.03800000000001</v>
      </c>
      <c r="J31" s="32">
        <v>0.31167</v>
      </c>
      <c r="K31" s="31" t="s">
        <v>118</v>
      </c>
      <c r="L31" s="31">
        <v>2.9180000000000001</v>
      </c>
      <c r="M31" s="31">
        <v>7.7869999999999999</v>
      </c>
      <c r="N31" s="31">
        <v>2.7556560000000001</v>
      </c>
      <c r="O31" s="31">
        <v>2.62</v>
      </c>
      <c r="P31" s="31">
        <v>9.4962959999999992</v>
      </c>
      <c r="Q31" s="31">
        <v>215261134848</v>
      </c>
    </row>
    <row r="32" spans="1:17" x14ac:dyDescent="0.3">
      <c r="A32" s="1">
        <v>34</v>
      </c>
      <c r="B32" s="6" t="s">
        <v>120</v>
      </c>
      <c r="C32" s="6" t="s">
        <v>119</v>
      </c>
      <c r="D32" s="32">
        <v>6.9610000000000005E-2</v>
      </c>
      <c r="E32" s="32">
        <v>0.26600000000000001</v>
      </c>
      <c r="F32" s="31">
        <v>211.03</v>
      </c>
      <c r="G32" s="31">
        <v>1.0609999999999999</v>
      </c>
      <c r="H32" s="32">
        <v>8.2799999999999992E-3</v>
      </c>
      <c r="I32" s="31">
        <v>25.131</v>
      </c>
      <c r="J32" s="32">
        <v>3.5720002000000001E-2</v>
      </c>
      <c r="K32" s="31" t="s">
        <v>121</v>
      </c>
      <c r="L32" s="31">
        <v>8.3949999999999996</v>
      </c>
      <c r="M32" s="31">
        <v>61.594000000000001</v>
      </c>
      <c r="N32" s="31">
        <v>3.6395778999999999</v>
      </c>
      <c r="O32" s="31">
        <v>5.29</v>
      </c>
      <c r="P32" s="31">
        <v>44.804670000000002</v>
      </c>
      <c r="Q32" s="31">
        <v>207864545280</v>
      </c>
    </row>
    <row r="33" spans="1:17" x14ac:dyDescent="0.3">
      <c r="A33" s="1">
        <v>35</v>
      </c>
      <c r="B33" s="6" t="s">
        <v>122</v>
      </c>
      <c r="C33" s="6" t="s">
        <v>98</v>
      </c>
      <c r="D33" s="32">
        <v>0.12731000000000001</v>
      </c>
      <c r="E33" s="32">
        <v>0.187</v>
      </c>
      <c r="F33" s="31">
        <v>47.13</v>
      </c>
      <c r="G33" s="31">
        <v>1.026</v>
      </c>
      <c r="H33" s="32">
        <v>4.5589999999999999E-2</v>
      </c>
      <c r="I33" s="31">
        <v>104.661</v>
      </c>
      <c r="J33" s="32">
        <v>0.15312000000000001</v>
      </c>
      <c r="K33" s="31" t="s">
        <v>123</v>
      </c>
      <c r="L33" s="31">
        <v>2.8679999999999999</v>
      </c>
      <c r="M33" s="31">
        <v>9.7720000000000002</v>
      </c>
      <c r="N33" s="31">
        <v>2.2481396</v>
      </c>
      <c r="O33" s="31">
        <v>0.87</v>
      </c>
      <c r="P33" s="31">
        <v>12.772358000000001</v>
      </c>
      <c r="Q33" s="31">
        <v>215333208064</v>
      </c>
    </row>
    <row r="34" spans="1:17" x14ac:dyDescent="0.3">
      <c r="A34" s="1">
        <v>36</v>
      </c>
      <c r="B34" s="6" t="s">
        <v>124</v>
      </c>
      <c r="C34" s="6" t="s">
        <v>57</v>
      </c>
      <c r="D34" s="32">
        <v>0.25141999999999998</v>
      </c>
      <c r="E34" s="32">
        <v>2.8000000000000001E-2</v>
      </c>
      <c r="F34" s="31">
        <v>51.83</v>
      </c>
      <c r="G34" s="31">
        <v>2.1019999999999999</v>
      </c>
      <c r="H34" s="32">
        <v>8.586001E-2</v>
      </c>
      <c r="I34" s="31">
        <v>40.508000000000003</v>
      </c>
      <c r="J34" s="32">
        <v>0.22522</v>
      </c>
      <c r="K34" s="31" t="s">
        <v>125</v>
      </c>
      <c r="L34" s="31">
        <v>2.5840000000000001</v>
      </c>
      <c r="M34" s="31">
        <v>6.0279999999999996</v>
      </c>
      <c r="N34" s="31">
        <v>2.3398495000000001</v>
      </c>
      <c r="O34" s="31">
        <v>3.18</v>
      </c>
      <c r="P34" s="31">
        <v>14.008108</v>
      </c>
      <c r="Q34" s="31">
        <v>210792628224</v>
      </c>
    </row>
    <row r="35" spans="1:17" x14ac:dyDescent="0.3">
      <c r="A35" s="1">
        <v>37</v>
      </c>
      <c r="B35" s="6" t="s">
        <v>127</v>
      </c>
      <c r="C35" s="6" t="s">
        <v>126</v>
      </c>
      <c r="D35" s="32">
        <v>0.17122000000000001</v>
      </c>
      <c r="E35" s="32">
        <v>0.23400000000000001</v>
      </c>
      <c r="F35" s="31">
        <v>118.95</v>
      </c>
      <c r="G35" s="31">
        <v>1.8260000000000001</v>
      </c>
      <c r="H35" s="32">
        <v>7.7399999999999997E-2</v>
      </c>
      <c r="I35" s="31">
        <v>53.112000000000002</v>
      </c>
      <c r="J35" s="32">
        <v>0.21862000000000001</v>
      </c>
      <c r="K35" s="31" t="s">
        <v>128</v>
      </c>
      <c r="L35" s="31">
        <v>5.8849999999999998</v>
      </c>
      <c r="M35" s="31">
        <v>20.135999999999999</v>
      </c>
      <c r="N35" s="31">
        <v>6.1106543999999996</v>
      </c>
      <c r="O35" s="31">
        <v>2.0299999999999998</v>
      </c>
      <c r="P35" s="31">
        <v>24.989494000000001</v>
      </c>
      <c r="Q35" s="31">
        <v>210338103296</v>
      </c>
    </row>
    <row r="36" spans="1:17" x14ac:dyDescent="0.3">
      <c r="A36" s="1">
        <v>38</v>
      </c>
      <c r="B36" s="6" t="s">
        <v>130</v>
      </c>
      <c r="C36" s="6" t="s">
        <v>129</v>
      </c>
      <c r="D36" s="32">
        <v>0.13322000000000001</v>
      </c>
      <c r="E36" s="32">
        <v>0.01</v>
      </c>
      <c r="F36" s="31">
        <v>133.69999999999999</v>
      </c>
      <c r="G36" s="31">
        <v>3.0680000000000001</v>
      </c>
      <c r="H36" s="32">
        <v>0.12352</v>
      </c>
      <c r="I36" s="31">
        <v>85.251999999999995</v>
      </c>
      <c r="J36" s="32">
        <v>0.48263</v>
      </c>
      <c r="K36" s="31" t="s">
        <v>131</v>
      </c>
      <c r="L36" s="31">
        <v>4.7359999999999998</v>
      </c>
      <c r="M36" s="31">
        <v>27.472999999999999</v>
      </c>
      <c r="N36" s="31">
        <v>14.176652000000001</v>
      </c>
      <c r="O36" s="31">
        <v>2.89</v>
      </c>
      <c r="P36" s="31">
        <v>27.738588</v>
      </c>
      <c r="Q36" s="31">
        <v>211623018496</v>
      </c>
    </row>
    <row r="37" spans="1:17" x14ac:dyDescent="0.3">
      <c r="A37" s="1">
        <v>39</v>
      </c>
      <c r="B37" s="6" t="s">
        <v>132</v>
      </c>
      <c r="C37" s="6" t="s">
        <v>108</v>
      </c>
      <c r="D37" s="32">
        <v>0.21840999999999999</v>
      </c>
      <c r="E37" s="32">
        <v>0.20499999999999999</v>
      </c>
      <c r="F37" s="31">
        <v>287.52999999999997</v>
      </c>
      <c r="G37" s="31">
        <v>1.431</v>
      </c>
      <c r="H37" s="32">
        <v>6.4070000000000002E-2</v>
      </c>
      <c r="I37" s="31">
        <v>51.512999999999998</v>
      </c>
      <c r="J37" s="32">
        <v>0.14942000999999999</v>
      </c>
      <c r="K37" s="31" t="s">
        <v>133</v>
      </c>
      <c r="L37" s="31">
        <v>7.202</v>
      </c>
      <c r="M37" s="31">
        <v>20.521999999999998</v>
      </c>
      <c r="N37" s="31">
        <v>5.1126440000000004</v>
      </c>
      <c r="O37" s="31">
        <v>1.46</v>
      </c>
      <c r="P37" s="31">
        <v>28.356013999999998</v>
      </c>
      <c r="Q37" s="31">
        <v>205462323200</v>
      </c>
    </row>
    <row r="38" spans="1:17" x14ac:dyDescent="0.3">
      <c r="A38" s="1">
        <v>40</v>
      </c>
      <c r="B38" s="6" t="s">
        <v>134</v>
      </c>
      <c r="C38" s="6" t="s">
        <v>44</v>
      </c>
      <c r="D38" s="32">
        <v>0.30547999999999997</v>
      </c>
      <c r="E38" s="32">
        <v>0.2</v>
      </c>
      <c r="F38" s="31">
        <v>431.62</v>
      </c>
      <c r="G38" s="31">
        <v>1.248</v>
      </c>
      <c r="H38" s="32">
        <v>0.14076</v>
      </c>
      <c r="I38" s="31">
        <v>31.581</v>
      </c>
      <c r="J38" s="32">
        <v>0.34367999999999999</v>
      </c>
      <c r="K38" s="31" t="s">
        <v>135</v>
      </c>
      <c r="L38" s="31">
        <v>15.907999999999999</v>
      </c>
      <c r="M38" s="31">
        <v>38.164999999999999</v>
      </c>
      <c r="N38" s="31">
        <v>13.8847065</v>
      </c>
      <c r="O38" s="31">
        <v>2.62</v>
      </c>
      <c r="P38" s="31">
        <v>26.561229999999998</v>
      </c>
      <c r="Q38" s="31">
        <v>205364789248</v>
      </c>
    </row>
    <row r="39" spans="1:17" x14ac:dyDescent="0.3">
      <c r="A39" s="1">
        <v>42</v>
      </c>
      <c r="B39" s="6" t="s">
        <v>136</v>
      </c>
      <c r="C39" s="6" t="s">
        <v>68</v>
      </c>
      <c r="D39" s="32">
        <v>0.13680999999999999</v>
      </c>
      <c r="E39" s="32">
        <v>0.20399999999999999</v>
      </c>
      <c r="F39" s="31">
        <v>81.34</v>
      </c>
      <c r="G39" s="31">
        <v>1.3089999999999999</v>
      </c>
      <c r="H39" s="32">
        <v>0.12132999999999999</v>
      </c>
      <c r="I39" s="31">
        <v>73.727999999999994</v>
      </c>
      <c r="J39" s="32">
        <v>0.26035999999999998</v>
      </c>
      <c r="K39" s="31" t="s">
        <v>137</v>
      </c>
      <c r="L39" s="31">
        <v>4.0110000000000001</v>
      </c>
      <c r="M39" s="31">
        <v>10.02</v>
      </c>
      <c r="N39" s="31">
        <v>5.7386759999999999</v>
      </c>
      <c r="O39" s="31">
        <v>0.87</v>
      </c>
      <c r="P39" s="31">
        <v>11.297222</v>
      </c>
      <c r="Q39" s="31">
        <v>205459947520</v>
      </c>
    </row>
    <row r="40" spans="1:17" x14ac:dyDescent="0.3">
      <c r="A40" s="1">
        <v>43</v>
      </c>
      <c r="B40" s="6" t="s">
        <v>139</v>
      </c>
      <c r="C40" s="6" t="s">
        <v>138</v>
      </c>
      <c r="D40" s="32">
        <v>6.8320000000000006E-2</v>
      </c>
      <c r="E40" s="32">
        <v>9.1999999999999998E-2</v>
      </c>
      <c r="F40" s="31">
        <v>215.35</v>
      </c>
      <c r="G40" s="31">
        <v>1.476</v>
      </c>
      <c r="H40" s="32">
        <v>7.7679999999999999E-2</v>
      </c>
      <c r="I40" s="31">
        <v>212.38300000000001</v>
      </c>
      <c r="J40" s="32">
        <v>0.73033994000000002</v>
      </c>
      <c r="K40" s="31" t="s">
        <v>140</v>
      </c>
      <c r="L40" s="31">
        <v>2.16</v>
      </c>
      <c r="M40" s="31">
        <v>18.753</v>
      </c>
      <c r="N40" s="31">
        <v>15.542004</v>
      </c>
      <c r="O40" s="31">
        <v>1.07</v>
      </c>
      <c r="P40" s="31">
        <v>17.797519999999999</v>
      </c>
      <c r="Q40" s="31">
        <v>187169734656</v>
      </c>
    </row>
    <row r="41" spans="1:17" x14ac:dyDescent="0.3">
      <c r="A41" s="1">
        <v>44</v>
      </c>
      <c r="B41" s="6" t="s">
        <v>142</v>
      </c>
      <c r="C41" s="6" t="s">
        <v>141</v>
      </c>
      <c r="D41" s="32">
        <v>0.32490003000000001</v>
      </c>
      <c r="E41" s="32">
        <v>0.13100000000000001</v>
      </c>
      <c r="F41" s="31">
        <v>241.58</v>
      </c>
      <c r="G41" s="31">
        <v>1.778</v>
      </c>
      <c r="H41" s="32">
        <v>0.1159</v>
      </c>
      <c r="I41" s="31">
        <v>0</v>
      </c>
      <c r="J41" s="32"/>
      <c r="K41" s="31" t="s">
        <v>143</v>
      </c>
      <c r="L41" s="31">
        <v>9.1050000000000004</v>
      </c>
      <c r="M41" s="31">
        <v>18.009</v>
      </c>
      <c r="O41" s="31">
        <v>1.32</v>
      </c>
      <c r="P41" s="31">
        <v>23.824456999999999</v>
      </c>
      <c r="Q41" s="31">
        <v>180519452672</v>
      </c>
    </row>
    <row r="42" spans="1:17" x14ac:dyDescent="0.3">
      <c r="A42" s="1">
        <v>45</v>
      </c>
      <c r="B42" s="6" t="s">
        <v>144</v>
      </c>
      <c r="C42" s="6" t="s">
        <v>57</v>
      </c>
      <c r="D42" s="32">
        <v>0.27714001999999999</v>
      </c>
      <c r="E42" s="32">
        <v>0.3</v>
      </c>
      <c r="F42" s="31">
        <v>157.97</v>
      </c>
      <c r="G42" s="31">
        <v>1.6479999999999999</v>
      </c>
      <c r="H42" s="32">
        <v>0.17321</v>
      </c>
      <c r="I42" s="31">
        <v>138.97499999999999</v>
      </c>
      <c r="J42" s="32">
        <v>1.0673900000000001</v>
      </c>
      <c r="K42" s="31" t="s">
        <v>145</v>
      </c>
      <c r="L42" s="31">
        <v>4.8170000000000002</v>
      </c>
      <c r="M42" s="31">
        <v>13.615</v>
      </c>
      <c r="N42" s="31">
        <v>17.861827999999999</v>
      </c>
      <c r="O42" s="31">
        <v>0.68</v>
      </c>
      <c r="P42" s="31">
        <v>13.571305000000001</v>
      </c>
      <c r="Q42" s="31">
        <v>176926408704</v>
      </c>
    </row>
    <row r="43" spans="1:17" x14ac:dyDescent="0.3">
      <c r="A43" s="1">
        <v>47</v>
      </c>
      <c r="B43" s="6" t="s">
        <v>147</v>
      </c>
      <c r="C43" s="6" t="s">
        <v>146</v>
      </c>
      <c r="D43" s="32">
        <v>0.29915999999999998</v>
      </c>
      <c r="E43" s="32">
        <v>0.115</v>
      </c>
      <c r="F43" s="31">
        <v>273.38</v>
      </c>
      <c r="G43" s="31">
        <v>0.61799999999999999</v>
      </c>
      <c r="H43" s="32">
        <v>9.2939994999999997E-2</v>
      </c>
      <c r="I43" s="31">
        <v>222.357</v>
      </c>
      <c r="J43" s="32">
        <v>0.41922999999999999</v>
      </c>
      <c r="K43" s="31" t="s">
        <v>148</v>
      </c>
      <c r="L43" s="31">
        <v>8.4689999999999994</v>
      </c>
      <c r="M43" s="31">
        <v>15.96</v>
      </c>
      <c r="N43" s="31">
        <v>12.658239</v>
      </c>
      <c r="O43" s="31">
        <v>1.52</v>
      </c>
      <c r="P43" s="31">
        <v>24.022848</v>
      </c>
      <c r="Q43" s="31">
        <v>175749447680</v>
      </c>
    </row>
    <row r="44" spans="1:17" x14ac:dyDescent="0.3">
      <c r="A44" s="1">
        <v>48</v>
      </c>
      <c r="B44" s="6" t="s">
        <v>149</v>
      </c>
      <c r="C44" s="6" t="s">
        <v>57</v>
      </c>
      <c r="D44" s="32">
        <v>0.42352000000000001</v>
      </c>
      <c r="E44" s="32">
        <v>0.185</v>
      </c>
      <c r="F44" s="31">
        <v>184.9</v>
      </c>
      <c r="G44" s="31">
        <v>5.327</v>
      </c>
      <c r="H44" s="32">
        <v>0.25614999999999999</v>
      </c>
      <c r="I44" s="31">
        <v>61.546999999999997</v>
      </c>
      <c r="J44" s="32">
        <v>0.68996000000000002</v>
      </c>
      <c r="K44" s="31" t="s">
        <v>150</v>
      </c>
      <c r="L44" s="31">
        <v>8.4740000000000002</v>
      </c>
      <c r="M44" s="31">
        <v>15.672000000000001</v>
      </c>
      <c r="N44" s="31">
        <v>14.051219</v>
      </c>
      <c r="O44" s="31">
        <v>2.41</v>
      </c>
      <c r="P44" s="31">
        <v>22.466587000000001</v>
      </c>
      <c r="Q44" s="31">
        <v>170759962624</v>
      </c>
    </row>
    <row r="45" spans="1:17" x14ac:dyDescent="0.3">
      <c r="A45" s="1">
        <v>49</v>
      </c>
      <c r="B45" s="6" t="s">
        <v>151</v>
      </c>
      <c r="C45" s="6" t="s">
        <v>116</v>
      </c>
      <c r="D45" s="32">
        <v>6.6500003000000002E-3</v>
      </c>
      <c r="E45" s="32">
        <v>-5.7000000000000002E-2</v>
      </c>
      <c r="F45" s="31">
        <v>23.84</v>
      </c>
      <c r="G45" s="31">
        <v>0.70099999999999996</v>
      </c>
      <c r="H45" s="32">
        <v>3.7240000000000002E-2</v>
      </c>
      <c r="I45" s="31">
        <v>115.572</v>
      </c>
      <c r="J45" s="32">
        <v>1.3679999999999999E-2</v>
      </c>
      <c r="K45" s="31" t="s">
        <v>152</v>
      </c>
      <c r="L45" s="31">
        <v>2.2629999999999999</v>
      </c>
      <c r="M45" s="31">
        <v>7.4089999999999998</v>
      </c>
      <c r="N45" s="31">
        <v>1.0393687</v>
      </c>
      <c r="O45" s="31">
        <v>2.17</v>
      </c>
      <c r="P45" s="31">
        <v>7.4267909999999997</v>
      </c>
      <c r="Q45" s="31">
        <v>170241441792</v>
      </c>
    </row>
    <row r="46" spans="1:17" x14ac:dyDescent="0.3">
      <c r="A46" s="1">
        <v>51</v>
      </c>
      <c r="B46" s="6" t="s">
        <v>153</v>
      </c>
      <c r="C46" s="6" t="s">
        <v>98</v>
      </c>
      <c r="D46" s="32">
        <v>0.17639999000000001</v>
      </c>
      <c r="E46" s="32">
        <v>0.16300000000000001</v>
      </c>
      <c r="F46" s="31">
        <v>373.85</v>
      </c>
      <c r="G46" s="31">
        <v>1.17</v>
      </c>
      <c r="H46" s="32">
        <v>0.10012</v>
      </c>
      <c r="I46" s="31">
        <v>117.578</v>
      </c>
      <c r="J46" s="32">
        <v>0.39387</v>
      </c>
      <c r="K46" s="31" t="s">
        <v>154</v>
      </c>
      <c r="L46" s="31">
        <v>9.5109999999999992</v>
      </c>
      <c r="M46" s="31">
        <v>40.686999999999998</v>
      </c>
      <c r="N46" s="31">
        <v>10.813039</v>
      </c>
      <c r="O46" s="31">
        <v>1.29</v>
      </c>
      <c r="P46" s="31">
        <v>28.559968999999999</v>
      </c>
      <c r="Q46" s="31">
        <v>165597609984</v>
      </c>
    </row>
    <row r="47" spans="1:17" x14ac:dyDescent="0.3">
      <c r="A47" s="1">
        <v>52</v>
      </c>
      <c r="B47" s="6" t="s">
        <v>156</v>
      </c>
      <c r="C47" s="6" t="s">
        <v>155</v>
      </c>
      <c r="D47" s="32">
        <v>0.14399000000000001</v>
      </c>
      <c r="E47" s="32">
        <v>-8.6999999999999994E-2</v>
      </c>
      <c r="F47" s="31">
        <v>83.94</v>
      </c>
      <c r="G47" s="31">
        <v>0.46800000000000003</v>
      </c>
      <c r="H47" s="32">
        <v>1.33299995E-2</v>
      </c>
      <c r="I47" s="31">
        <v>123.733</v>
      </c>
      <c r="J47" s="32">
        <v>3.8730000000000001E-2</v>
      </c>
      <c r="K47" s="31" t="s">
        <v>157</v>
      </c>
      <c r="L47" s="31">
        <v>14.071</v>
      </c>
      <c r="M47" s="31">
        <v>32.927</v>
      </c>
      <c r="N47" s="31">
        <v>4.4940576999999999</v>
      </c>
      <c r="O47" s="31">
        <v>3.6</v>
      </c>
      <c r="P47" s="31">
        <v>30.635035999999999</v>
      </c>
      <c r="Q47" s="31">
        <v>164702044160</v>
      </c>
    </row>
    <row r="48" spans="1:17" x14ac:dyDescent="0.3">
      <c r="A48" s="1">
        <v>53</v>
      </c>
      <c r="B48" s="6" t="s">
        <v>159</v>
      </c>
      <c r="C48" s="6" t="s">
        <v>158</v>
      </c>
      <c r="D48" s="32">
        <v>0.12425</v>
      </c>
      <c r="E48" s="32">
        <v>0.14099999999999999</v>
      </c>
      <c r="F48" s="31">
        <v>318.74</v>
      </c>
      <c r="G48" s="31">
        <v>0.745</v>
      </c>
      <c r="H48" s="32">
        <v>4.0579999999999998E-2</v>
      </c>
      <c r="I48" s="31">
        <v>31.265000000000001</v>
      </c>
      <c r="J48" s="32">
        <v>8.3260000000000001E-2</v>
      </c>
      <c r="K48" s="31" t="s">
        <v>160</v>
      </c>
      <c r="L48" s="31">
        <v>5.3090000000000002</v>
      </c>
      <c r="M48" s="31">
        <v>16.106999999999999</v>
      </c>
      <c r="N48" s="31">
        <v>3.6859207</v>
      </c>
      <c r="P48" s="31">
        <v>30.885657999999999</v>
      </c>
      <c r="Q48" s="31">
        <v>163371778048</v>
      </c>
    </row>
    <row r="49" spans="1:17" x14ac:dyDescent="0.3">
      <c r="A49" s="1">
        <v>54</v>
      </c>
      <c r="B49" s="6" t="s">
        <v>161</v>
      </c>
      <c r="C49" s="6" t="s">
        <v>68</v>
      </c>
      <c r="D49" s="32">
        <v>0.15078</v>
      </c>
      <c r="E49" s="32">
        <v>8.3000000000000004E-2</v>
      </c>
      <c r="F49" s="31">
        <v>73.28</v>
      </c>
      <c r="G49" s="31">
        <v>1.5209999999999999</v>
      </c>
      <c r="H49" s="32">
        <v>5.3900000000000003E-2</v>
      </c>
      <c r="I49" s="31">
        <v>126.634</v>
      </c>
      <c r="J49" s="32">
        <v>0.18984999999999999</v>
      </c>
      <c r="K49" s="31" t="s">
        <v>162</v>
      </c>
      <c r="L49" s="31">
        <v>3.79</v>
      </c>
      <c r="M49" s="31">
        <v>8.5419999999999998</v>
      </c>
      <c r="N49" s="31">
        <v>4.3710113000000002</v>
      </c>
      <c r="O49" s="31">
        <v>1.39</v>
      </c>
      <c r="P49" s="31">
        <v>9.3469379999999997</v>
      </c>
      <c r="Q49" s="31">
        <v>162655223808</v>
      </c>
    </row>
    <row r="50" spans="1:17" x14ac:dyDescent="0.3">
      <c r="A50" s="1">
        <v>55</v>
      </c>
      <c r="B50" s="6" t="s">
        <v>163</v>
      </c>
      <c r="C50" s="6" t="s">
        <v>116</v>
      </c>
      <c r="D50" s="32">
        <v>3.7740000000000003E-2</v>
      </c>
      <c r="E50" s="32">
        <v>2.1999999999999999E-2</v>
      </c>
      <c r="F50" s="31">
        <v>124.29</v>
      </c>
      <c r="G50" s="31">
        <v>0.88900000000000001</v>
      </c>
      <c r="H50" s="32">
        <v>3.0710000000000001E-2</v>
      </c>
      <c r="I50" s="31">
        <v>157.47300000000001</v>
      </c>
      <c r="J50" s="32">
        <v>4.4979999999999999E-2</v>
      </c>
      <c r="K50" s="31" t="s">
        <v>164</v>
      </c>
      <c r="L50" s="31">
        <v>3.1970000000000001</v>
      </c>
      <c r="M50" s="31">
        <v>9.7110000000000003</v>
      </c>
      <c r="N50" s="31">
        <v>2.2687279999999999</v>
      </c>
      <c r="O50" s="31">
        <v>1.1499999999999999</v>
      </c>
      <c r="P50" s="31">
        <v>38.361109999999996</v>
      </c>
      <c r="Q50" s="31">
        <v>155244429312</v>
      </c>
    </row>
    <row r="51" spans="1:17" x14ac:dyDescent="0.3">
      <c r="A51" s="1">
        <v>56</v>
      </c>
      <c r="B51" s="6" t="s">
        <v>166</v>
      </c>
      <c r="C51" s="6" t="s">
        <v>165</v>
      </c>
      <c r="D51" s="32">
        <v>5.1960002999999998E-2</v>
      </c>
      <c r="E51" s="32">
        <v>9.9000000000000005E-2</v>
      </c>
      <c r="F51" s="31">
        <v>102.43</v>
      </c>
      <c r="G51" s="31">
        <v>1.23</v>
      </c>
      <c r="H51" s="32">
        <v>2.5080000000000002E-2</v>
      </c>
      <c r="I51" s="31">
        <v>44.935000000000002</v>
      </c>
      <c r="J51" s="32">
        <v>5.0169999999999999E-2</v>
      </c>
      <c r="K51" s="31" t="s">
        <v>167</v>
      </c>
      <c r="L51" s="31">
        <v>2.5379999999999998</v>
      </c>
      <c r="M51" s="31">
        <v>14.698</v>
      </c>
      <c r="N51" s="31">
        <v>2.1516647</v>
      </c>
      <c r="O51" s="31">
        <v>0.94</v>
      </c>
      <c r="P51" s="31">
        <v>20.527056000000002</v>
      </c>
      <c r="Q51" s="31">
        <v>153315180544</v>
      </c>
    </row>
    <row r="52" spans="1:17" x14ac:dyDescent="0.3">
      <c r="A52" s="1">
        <v>57</v>
      </c>
      <c r="B52" s="6" t="s">
        <v>168</v>
      </c>
      <c r="C52" s="6" t="s">
        <v>82</v>
      </c>
      <c r="D52" s="32">
        <v>8.6249999999999993E-2</v>
      </c>
      <c r="E52" s="32">
        <v>2.7E-2</v>
      </c>
      <c r="F52" s="31">
        <v>212.92</v>
      </c>
      <c r="G52" s="31">
        <v>1.1930000000000001</v>
      </c>
      <c r="H52" s="32">
        <v>0.16220999999999999</v>
      </c>
      <c r="I52" s="31">
        <v>0</v>
      </c>
      <c r="J52" s="32">
        <v>6.57829</v>
      </c>
      <c r="K52" s="31" t="s">
        <v>169</v>
      </c>
      <c r="L52" s="31">
        <v>2.093</v>
      </c>
      <c r="M52" s="31">
        <v>13.427</v>
      </c>
      <c r="O52" s="31">
        <v>1.3</v>
      </c>
      <c r="P52" s="31">
        <v>16.505426</v>
      </c>
      <c r="Q52" s="31">
        <v>143454208000</v>
      </c>
    </row>
    <row r="53" spans="1:17" x14ac:dyDescent="0.3">
      <c r="A53" s="1">
        <v>58</v>
      </c>
      <c r="B53" s="6" t="s">
        <v>170</v>
      </c>
      <c r="C53" s="6" t="s">
        <v>57</v>
      </c>
      <c r="D53" s="32">
        <v>0.19240999</v>
      </c>
      <c r="E53" s="32">
        <v>0.48799999999999999</v>
      </c>
      <c r="F53" s="31">
        <v>119.67</v>
      </c>
      <c r="G53" s="31">
        <v>2.024</v>
      </c>
      <c r="H53" s="32">
        <v>0.21326999999999999</v>
      </c>
      <c r="I53" s="31">
        <v>9.7639999999999993</v>
      </c>
      <c r="J53" s="32">
        <v>0.47427999999999998</v>
      </c>
      <c r="K53" s="31" t="s">
        <v>171</v>
      </c>
      <c r="L53" s="31">
        <v>8.0850000000000009</v>
      </c>
      <c r="M53" s="31">
        <v>32.765000000000001</v>
      </c>
      <c r="N53" s="31">
        <v>20.324389</v>
      </c>
      <c r="O53" s="31">
        <v>1.55</v>
      </c>
      <c r="P53" s="31">
        <v>35.829340000000002</v>
      </c>
      <c r="Q53" s="31">
        <v>144514678784</v>
      </c>
    </row>
    <row r="54" spans="1:17" x14ac:dyDescent="0.3">
      <c r="A54" s="1">
        <v>60</v>
      </c>
      <c r="B54" s="6" t="s">
        <v>173</v>
      </c>
      <c r="C54" s="6" t="s">
        <v>172</v>
      </c>
      <c r="D54" s="32">
        <v>0.29247000000000001</v>
      </c>
      <c r="E54" s="32">
        <v>9.0999999999999998E-2</v>
      </c>
      <c r="F54" s="31">
        <v>93.45</v>
      </c>
      <c r="G54" s="31">
        <v>0.998</v>
      </c>
      <c r="H54" s="32">
        <v>0.2024</v>
      </c>
      <c r="I54" s="31">
        <v>0</v>
      </c>
      <c r="J54" s="32"/>
      <c r="K54" s="31" t="s">
        <v>174</v>
      </c>
      <c r="L54" s="31">
        <v>5.7409999999999997</v>
      </c>
      <c r="M54" s="31">
        <v>12.554</v>
      </c>
      <c r="O54" s="31">
        <v>1.44</v>
      </c>
      <c r="P54" s="31">
        <v>14.533436999999999</v>
      </c>
      <c r="Q54" s="31">
        <v>145485758464</v>
      </c>
    </row>
    <row r="55" spans="1:17" x14ac:dyDescent="0.3">
      <c r="A55" s="1">
        <v>61</v>
      </c>
      <c r="B55" s="6" t="s">
        <v>175</v>
      </c>
      <c r="C55" s="6" t="s">
        <v>126</v>
      </c>
      <c r="D55" s="32">
        <v>0.14793000000000001</v>
      </c>
      <c r="E55" s="32">
        <v>2.5999999999999999E-2</v>
      </c>
      <c r="F55" s="31">
        <v>108.46</v>
      </c>
      <c r="G55" s="31">
        <v>2.9129999999999998</v>
      </c>
      <c r="H55" s="32">
        <v>4.5879996999999999E-2</v>
      </c>
      <c r="I55" s="31">
        <v>49.125</v>
      </c>
      <c r="J55" s="32">
        <v>9.2329999999999995E-2</v>
      </c>
      <c r="K55" s="31" t="s">
        <v>176</v>
      </c>
      <c r="L55" s="31">
        <v>4.9580000000000002</v>
      </c>
      <c r="M55" s="31">
        <v>16.428000000000001</v>
      </c>
      <c r="N55" s="31">
        <v>2.8055563000000001</v>
      </c>
      <c r="O55" s="31">
        <v>1.63</v>
      </c>
      <c r="P55" s="31">
        <v>17.607143000000001</v>
      </c>
      <c r="Q55" s="31">
        <v>145830969344</v>
      </c>
    </row>
    <row r="56" spans="1:17" x14ac:dyDescent="0.3">
      <c r="A56" s="1">
        <v>62</v>
      </c>
      <c r="B56" s="6" t="s">
        <v>177</v>
      </c>
      <c r="C56" s="6" t="s">
        <v>62</v>
      </c>
      <c r="D56" s="32">
        <v>2.6679999999999999E-2</v>
      </c>
      <c r="E56" s="32">
        <v>0.1</v>
      </c>
      <c r="F56" s="31">
        <v>108.56</v>
      </c>
      <c r="G56" s="31">
        <v>0.94</v>
      </c>
      <c r="H56" s="32">
        <v>3.551E-2</v>
      </c>
      <c r="I56" s="31">
        <v>105.414</v>
      </c>
      <c r="J56" s="32">
        <v>0.10556</v>
      </c>
      <c r="K56" s="31" t="s">
        <v>178</v>
      </c>
      <c r="L56" s="31">
        <v>0.71799999999999997</v>
      </c>
      <c r="M56" s="31">
        <v>11.439</v>
      </c>
      <c r="N56" s="31">
        <v>1.9299213</v>
      </c>
      <c r="O56" s="31">
        <v>2.27</v>
      </c>
      <c r="P56" s="31">
        <v>13.126963999999999</v>
      </c>
      <c r="Q56" s="31">
        <v>143305719808</v>
      </c>
    </row>
    <row r="57" spans="1:17" x14ac:dyDescent="0.3">
      <c r="A57" s="1">
        <v>63</v>
      </c>
      <c r="B57" s="6" t="s">
        <v>180</v>
      </c>
      <c r="C57" s="6" t="s">
        <v>179</v>
      </c>
      <c r="D57" s="32">
        <v>0.36446998000000003</v>
      </c>
      <c r="E57" s="32">
        <v>0.11799999999999999</v>
      </c>
      <c r="F57" s="31">
        <v>413.47</v>
      </c>
      <c r="G57" s="31">
        <v>2.3090000000000002</v>
      </c>
      <c r="H57" s="32">
        <v>0.20552999</v>
      </c>
      <c r="I57" s="31">
        <v>89.811999999999998</v>
      </c>
      <c r="J57" s="32">
        <v>0.73424999999999996</v>
      </c>
      <c r="K57" s="31" t="s">
        <v>181</v>
      </c>
      <c r="L57" s="31">
        <v>11.443</v>
      </c>
      <c r="M57" s="31">
        <v>20.158000000000001</v>
      </c>
      <c r="N57" s="31">
        <v>54.006010000000003</v>
      </c>
      <c r="O57" s="31">
        <v>3.61</v>
      </c>
      <c r="P57" s="31">
        <v>28.261790999999999</v>
      </c>
      <c r="Q57" s="31">
        <v>99646267392</v>
      </c>
    </row>
    <row r="58" spans="1:17" x14ac:dyDescent="0.3">
      <c r="A58" s="1">
        <v>64</v>
      </c>
      <c r="B58" s="6" t="s">
        <v>183</v>
      </c>
      <c r="C58" s="6" t="s">
        <v>182</v>
      </c>
      <c r="D58" s="32">
        <v>0.17315</v>
      </c>
      <c r="E58" s="32">
        <v>1.7709999999999999</v>
      </c>
      <c r="F58" s="31">
        <v>107.5</v>
      </c>
      <c r="G58" s="31">
        <v>1.335</v>
      </c>
      <c r="H58" s="32">
        <v>0.10439</v>
      </c>
      <c r="I58" s="31">
        <v>45.371000000000002</v>
      </c>
      <c r="J58" s="32">
        <v>0.21471001000000001</v>
      </c>
      <c r="K58" s="31" t="s">
        <v>184</v>
      </c>
      <c r="L58" s="31">
        <v>2.7440000000000002</v>
      </c>
      <c r="M58" s="31">
        <v>6.3949999999999996</v>
      </c>
      <c r="N58" s="31">
        <v>3.2140403000000002</v>
      </c>
      <c r="O58" s="31">
        <v>-7.27</v>
      </c>
      <c r="P58" s="31">
        <v>13.782050999999999</v>
      </c>
      <c r="Q58" s="31">
        <v>141787119616</v>
      </c>
    </row>
    <row r="59" spans="1:17" x14ac:dyDescent="0.3">
      <c r="A59" s="1">
        <v>65</v>
      </c>
      <c r="B59" s="6" t="s">
        <v>185</v>
      </c>
      <c r="C59" s="6" t="s">
        <v>65</v>
      </c>
      <c r="D59" s="32">
        <v>0.20086001000000001</v>
      </c>
      <c r="E59" s="32">
        <v>0.13200000000000001</v>
      </c>
      <c r="F59" s="31">
        <v>113.76</v>
      </c>
      <c r="G59" s="31">
        <v>1.298</v>
      </c>
      <c r="H59" s="32">
        <v>3.8110003000000003E-2</v>
      </c>
      <c r="I59" s="31">
        <v>43.902000000000001</v>
      </c>
      <c r="J59" s="32">
        <v>0.24299999</v>
      </c>
      <c r="K59" s="31" t="s">
        <v>186</v>
      </c>
      <c r="L59" s="31">
        <v>8.9939999999999998</v>
      </c>
      <c r="M59" s="31">
        <v>42.578000000000003</v>
      </c>
      <c r="N59" s="31">
        <v>6.0459185</v>
      </c>
      <c r="O59" s="31">
        <v>2.02</v>
      </c>
      <c r="P59" s="31">
        <v>21.586338000000001</v>
      </c>
      <c r="Q59" s="31">
        <v>133660041216</v>
      </c>
    </row>
    <row r="60" spans="1:17" x14ac:dyDescent="0.3">
      <c r="A60" s="1">
        <v>66</v>
      </c>
      <c r="B60" s="6" t="s">
        <v>188</v>
      </c>
      <c r="C60" s="6" t="s">
        <v>187</v>
      </c>
      <c r="D60" s="32">
        <v>0.15801999999999999</v>
      </c>
      <c r="E60" s="32">
        <v>8.6999999999999994E-2</v>
      </c>
      <c r="F60" s="31">
        <v>197.79</v>
      </c>
      <c r="G60" s="31">
        <v>1.288</v>
      </c>
      <c r="H60" s="32">
        <v>7.3860005000000006E-2</v>
      </c>
      <c r="I60" s="31">
        <v>122.846</v>
      </c>
      <c r="J60" s="32">
        <v>0.30443999999999999</v>
      </c>
      <c r="K60" s="31" t="s">
        <v>189</v>
      </c>
      <c r="L60" s="31">
        <v>4.4550000000000001</v>
      </c>
      <c r="M60" s="31">
        <v>17.672999999999998</v>
      </c>
      <c r="N60" s="31">
        <v>7.6316699999999997</v>
      </c>
      <c r="O60" s="31">
        <v>2.27</v>
      </c>
      <c r="P60" s="31">
        <v>22.025614000000001</v>
      </c>
      <c r="Q60" s="31">
        <v>136163172352</v>
      </c>
    </row>
    <row r="61" spans="1:17" x14ac:dyDescent="0.3">
      <c r="A61" s="1">
        <v>67</v>
      </c>
      <c r="B61" s="6" t="s">
        <v>190</v>
      </c>
      <c r="C61" s="6" t="s">
        <v>68</v>
      </c>
      <c r="D61" s="32">
        <v>0.21767998999999999</v>
      </c>
      <c r="E61" s="32">
        <v>4.3999999999999997E-2</v>
      </c>
      <c r="F61" s="31">
        <v>238.79</v>
      </c>
      <c r="G61" s="31">
        <v>1.643</v>
      </c>
      <c r="H61" s="32">
        <v>8.6959999999999996E-2</v>
      </c>
      <c r="I61" s="31">
        <v>457.33199999999999</v>
      </c>
      <c r="J61" s="32">
        <v>0.58499999999999996</v>
      </c>
      <c r="K61" s="31" t="s">
        <v>191</v>
      </c>
      <c r="L61" s="31">
        <v>6.0679999999999996</v>
      </c>
      <c r="M61" s="31">
        <v>12.738</v>
      </c>
      <c r="N61" s="31">
        <v>16.419581999999998</v>
      </c>
      <c r="O61" s="31">
        <v>2.2799999999999998</v>
      </c>
      <c r="P61" s="31">
        <v>13.303063</v>
      </c>
      <c r="Q61" s="31">
        <v>134502277120</v>
      </c>
    </row>
    <row r="62" spans="1:17" x14ac:dyDescent="0.3">
      <c r="A62" s="1">
        <v>68</v>
      </c>
      <c r="B62" s="6" t="s">
        <v>193</v>
      </c>
      <c r="C62" s="6" t="s">
        <v>192</v>
      </c>
      <c r="D62" s="32">
        <v>0.13566</v>
      </c>
      <c r="E62" s="32">
        <v>0.16</v>
      </c>
      <c r="F62" s="31">
        <v>436.45</v>
      </c>
      <c r="G62" s="31">
        <v>2.1920000000000002</v>
      </c>
      <c r="H62" s="32">
        <v>6.3549999999999995E-2</v>
      </c>
      <c r="I62" s="31">
        <v>264.86399999999998</v>
      </c>
      <c r="J62" s="32">
        <v>0.38019999999999998</v>
      </c>
      <c r="K62" s="31" t="s">
        <v>194</v>
      </c>
      <c r="L62" s="31">
        <v>3.673</v>
      </c>
      <c r="M62" s="31">
        <v>17.86</v>
      </c>
      <c r="N62" s="31">
        <v>7.2950796999999996</v>
      </c>
      <c r="O62" s="31">
        <v>1.34</v>
      </c>
      <c r="P62" s="31">
        <v>17.374600999999998</v>
      </c>
      <c r="Q62" s="31">
        <v>134167789568</v>
      </c>
    </row>
    <row r="63" spans="1:17" x14ac:dyDescent="0.3">
      <c r="A63" s="1">
        <v>69</v>
      </c>
      <c r="B63" s="6" t="s">
        <v>195</v>
      </c>
      <c r="C63" s="6" t="s">
        <v>119</v>
      </c>
      <c r="D63" s="32">
        <v>0.20277001</v>
      </c>
      <c r="E63" s="32">
        <v>0.51700000000000002</v>
      </c>
      <c r="F63" s="31">
        <v>459.35</v>
      </c>
      <c r="G63" s="31">
        <v>2.0990000000000002</v>
      </c>
      <c r="H63" s="32">
        <v>0.12801999999999999</v>
      </c>
      <c r="I63" s="31">
        <v>25.757999999999999</v>
      </c>
      <c r="J63" s="32">
        <v>0.27933999999999998</v>
      </c>
      <c r="K63" s="31" t="s">
        <v>196</v>
      </c>
      <c r="L63" s="31">
        <v>16.899000000000001</v>
      </c>
      <c r="M63" s="31">
        <v>60.326999999999998</v>
      </c>
      <c r="N63" s="31">
        <v>12.894759000000001</v>
      </c>
      <c r="O63" s="31">
        <v>3.04</v>
      </c>
      <c r="P63" s="31">
        <v>33.676684999999999</v>
      </c>
      <c r="Q63" s="31">
        <v>130072764416</v>
      </c>
    </row>
    <row r="64" spans="1:17" x14ac:dyDescent="0.3">
      <c r="A64" s="1">
        <v>70</v>
      </c>
      <c r="B64" s="6" t="s">
        <v>198</v>
      </c>
      <c r="C64" s="6" t="s">
        <v>197</v>
      </c>
      <c r="D64" s="32">
        <v>0.25530002000000002</v>
      </c>
      <c r="E64" s="32">
        <v>0.30599999999999999</v>
      </c>
      <c r="F64" s="31">
        <v>137.06</v>
      </c>
      <c r="G64" s="31">
        <v>2.5390000000000001</v>
      </c>
      <c r="H64" s="32">
        <v>0.18829000000000001</v>
      </c>
      <c r="I64" s="31">
        <v>46.975000000000001</v>
      </c>
      <c r="J64" s="32">
        <v>0.51593</v>
      </c>
      <c r="K64" s="31" t="s">
        <v>199</v>
      </c>
      <c r="L64" s="31">
        <v>5.9359999999999999</v>
      </c>
      <c r="M64" s="31">
        <v>17.891999999999999</v>
      </c>
      <c r="N64" s="31">
        <v>9.9825199999999992</v>
      </c>
      <c r="O64" s="31">
        <v>1.17</v>
      </c>
      <c r="P64" s="31">
        <v>15.487004000000001</v>
      </c>
      <c r="Q64" s="31">
        <v>121779593216</v>
      </c>
    </row>
    <row r="65" spans="1:17" x14ac:dyDescent="0.3">
      <c r="A65" s="1">
        <v>71</v>
      </c>
      <c r="B65" s="6" t="s">
        <v>200</v>
      </c>
      <c r="C65" s="6" t="s">
        <v>62</v>
      </c>
      <c r="D65" s="32">
        <v>4.1220001999999999E-2</v>
      </c>
      <c r="E65" s="32">
        <v>0.15</v>
      </c>
      <c r="F65" s="31">
        <v>480.76</v>
      </c>
      <c r="G65" s="31">
        <v>1.476</v>
      </c>
      <c r="H65" s="32">
        <v>5.3710000000000001E-2</v>
      </c>
      <c r="I65" s="31">
        <v>66.275999999999996</v>
      </c>
      <c r="J65" s="32">
        <v>0.15834999999999999</v>
      </c>
      <c r="K65" s="31" t="s">
        <v>201</v>
      </c>
      <c r="L65" s="31">
        <v>0.755</v>
      </c>
      <c r="M65" s="31">
        <v>11.545</v>
      </c>
      <c r="N65" s="31">
        <v>3.2669646999999999</v>
      </c>
      <c r="O65" s="31">
        <v>1.31</v>
      </c>
      <c r="P65" s="31">
        <v>16.780455</v>
      </c>
      <c r="Q65" s="31">
        <v>116687667200</v>
      </c>
    </row>
    <row r="66" spans="1:17" x14ac:dyDescent="0.3">
      <c r="A66" s="1">
        <v>72</v>
      </c>
      <c r="B66" s="6" t="s">
        <v>202</v>
      </c>
      <c r="C66" s="6" t="s">
        <v>165</v>
      </c>
      <c r="D66" s="32">
        <v>9.4189993999999999E-2</v>
      </c>
      <c r="E66" s="32">
        <v>4.1000000000000002E-2</v>
      </c>
      <c r="F66" s="31">
        <v>453.66</v>
      </c>
      <c r="G66" s="31">
        <v>1.4159999999999999</v>
      </c>
      <c r="H66" s="32">
        <v>9.6240000000000006E-2</v>
      </c>
      <c r="I66" s="31">
        <v>119.55500000000001</v>
      </c>
      <c r="J66" s="32">
        <v>0.74307000000000001</v>
      </c>
      <c r="K66" s="31" t="s">
        <v>203</v>
      </c>
      <c r="L66" s="31">
        <v>2.0350000000000001</v>
      </c>
      <c r="M66" s="31">
        <v>15.144</v>
      </c>
      <c r="N66" s="31">
        <v>12.906401000000001</v>
      </c>
      <c r="O66" s="31">
        <v>3.22</v>
      </c>
      <c r="P66" s="31">
        <v>17.262556</v>
      </c>
      <c r="Q66" s="31">
        <v>125113073664</v>
      </c>
    </row>
    <row r="67" spans="1:17" x14ac:dyDescent="0.3">
      <c r="A67" s="1">
        <v>73</v>
      </c>
      <c r="B67" s="6" t="s">
        <v>204</v>
      </c>
      <c r="C67" s="6" t="s">
        <v>192</v>
      </c>
      <c r="D67" s="32">
        <v>0.12731000000000001</v>
      </c>
      <c r="E67" s="32">
        <v>0.22800000000000001</v>
      </c>
      <c r="F67" s="31">
        <v>223.36</v>
      </c>
      <c r="G67" s="31">
        <v>1.456</v>
      </c>
      <c r="H67" s="32">
        <v>5.3359999999999998E-2</v>
      </c>
      <c r="I67" s="31">
        <v>228.80199999999999</v>
      </c>
      <c r="J67" s="32">
        <v>0.40715997999999998</v>
      </c>
      <c r="K67" s="31" t="s">
        <v>205</v>
      </c>
      <c r="L67" s="31">
        <v>2.7130000000000001</v>
      </c>
      <c r="M67" s="31">
        <v>14.98</v>
      </c>
      <c r="N67" s="31">
        <v>7.2503004000000004</v>
      </c>
      <c r="O67" s="31">
        <v>0.65</v>
      </c>
      <c r="P67" s="31">
        <v>20.491743</v>
      </c>
      <c r="Q67" s="31">
        <v>120824807424</v>
      </c>
    </row>
    <row r="68" spans="1:17" x14ac:dyDescent="0.3">
      <c r="A68" s="1">
        <v>74</v>
      </c>
      <c r="B68" s="6" t="s">
        <v>206</v>
      </c>
      <c r="C68" s="6" t="s">
        <v>113</v>
      </c>
      <c r="D68" s="32">
        <v>6.4009999999999997E-2</v>
      </c>
      <c r="E68" s="32">
        <v>3.0000000000000001E-3</v>
      </c>
      <c r="F68" s="31">
        <v>131.35</v>
      </c>
      <c r="G68" s="31">
        <v>0.83599999999999997</v>
      </c>
      <c r="H68" s="32">
        <v>3.739E-2</v>
      </c>
      <c r="I68" s="31">
        <v>263.80099999999999</v>
      </c>
      <c r="J68" s="32">
        <v>0.21405001000000001</v>
      </c>
      <c r="K68" s="31" t="s">
        <v>207</v>
      </c>
      <c r="L68" s="31">
        <v>2.3479999999999999</v>
      </c>
      <c r="M68" s="31">
        <v>11.164999999999999</v>
      </c>
      <c r="N68" s="31">
        <v>5.2993629999999996</v>
      </c>
      <c r="O68" s="31">
        <v>2.0699999999999998</v>
      </c>
      <c r="P68" s="31">
        <v>12.752427000000001</v>
      </c>
      <c r="Q68" s="31">
        <v>117731639296</v>
      </c>
    </row>
    <row r="69" spans="1:17" x14ac:dyDescent="0.3">
      <c r="A69" s="1">
        <v>75</v>
      </c>
      <c r="B69" s="6" t="s">
        <v>208</v>
      </c>
      <c r="C69" s="6" t="s">
        <v>119</v>
      </c>
      <c r="D69" s="32">
        <v>3.986E-2</v>
      </c>
      <c r="E69" s="32">
        <v>0.312</v>
      </c>
      <c r="F69" s="31">
        <v>561.87</v>
      </c>
      <c r="G69" s="31">
        <v>1.131</v>
      </c>
      <c r="H69" s="32">
        <v>1.745E-2</v>
      </c>
      <c r="I69" s="31">
        <v>63.015999999999998</v>
      </c>
      <c r="J69" s="32">
        <v>7.1040004000000004E-2</v>
      </c>
      <c r="K69" s="31" t="s">
        <v>209</v>
      </c>
      <c r="L69" s="31">
        <v>21.577000000000002</v>
      </c>
      <c r="M69" s="31">
        <v>175.75</v>
      </c>
      <c r="N69" s="31">
        <v>31.638603</v>
      </c>
      <c r="O69" s="31">
        <v>3.88</v>
      </c>
      <c r="P69" s="31">
        <v>77.821335000000005</v>
      </c>
      <c r="Q69" s="31">
        <v>111812132864</v>
      </c>
    </row>
    <row r="70" spans="1:17" x14ac:dyDescent="0.3">
      <c r="A70" s="1">
        <v>77</v>
      </c>
      <c r="B70" s="6" t="s">
        <v>211</v>
      </c>
      <c r="C70" s="6" t="s">
        <v>210</v>
      </c>
      <c r="D70" s="32">
        <v>0.40217999999999998</v>
      </c>
      <c r="E70" s="32">
        <v>0.10199999999999999</v>
      </c>
      <c r="F70" s="31">
        <v>157.33000000000001</v>
      </c>
      <c r="G70" s="31">
        <v>0.84799999999999998</v>
      </c>
      <c r="H70" s="32">
        <v>1.9779999999999999E-2</v>
      </c>
      <c r="I70" s="31">
        <v>47.759</v>
      </c>
      <c r="J70" s="32">
        <v>5.8860000000000003E-2</v>
      </c>
      <c r="K70" s="31" t="s">
        <v>212</v>
      </c>
      <c r="L70" s="31">
        <v>28.603000000000002</v>
      </c>
      <c r="M70" s="31">
        <v>41.475999999999999</v>
      </c>
      <c r="N70" s="31">
        <v>3.5853785999999999</v>
      </c>
      <c r="O70" s="31">
        <v>-11.62</v>
      </c>
      <c r="P70" s="31">
        <v>68.108230000000006</v>
      </c>
      <c r="Q70" s="31">
        <v>116318314496</v>
      </c>
    </row>
    <row r="71" spans="1:17" x14ac:dyDescent="0.3">
      <c r="A71" s="1">
        <v>79</v>
      </c>
      <c r="B71" s="6" t="s">
        <v>214</v>
      </c>
      <c r="C71" s="6" t="s">
        <v>213</v>
      </c>
      <c r="D71" s="32">
        <v>0.30972</v>
      </c>
      <c r="E71" s="32">
        <v>0.156</v>
      </c>
      <c r="F71" s="31">
        <v>741.04</v>
      </c>
      <c r="G71" s="31">
        <v>1.427</v>
      </c>
      <c r="H71" s="32">
        <v>2.7269999999999999E-2</v>
      </c>
      <c r="I71" s="31">
        <v>21.949000000000002</v>
      </c>
      <c r="J71" s="32">
        <v>0.16974</v>
      </c>
      <c r="K71" s="31" t="s">
        <v>215</v>
      </c>
      <c r="L71" s="31">
        <v>7.5830000000000002</v>
      </c>
      <c r="M71" s="31">
        <v>18.433</v>
      </c>
      <c r="N71" s="31">
        <v>3.0591655000000002</v>
      </c>
      <c r="O71" s="31">
        <v>1.8</v>
      </c>
      <c r="P71" s="31">
        <v>17.539408000000002</v>
      </c>
      <c r="Q71" s="31">
        <v>112576561152</v>
      </c>
    </row>
    <row r="72" spans="1:17" x14ac:dyDescent="0.3">
      <c r="A72" s="1">
        <v>80</v>
      </c>
      <c r="B72" s="6" t="s">
        <v>216</v>
      </c>
      <c r="C72" s="6" t="s">
        <v>165</v>
      </c>
      <c r="D72" s="32">
        <v>-6.7460000000000006E-2</v>
      </c>
      <c r="E72" s="32">
        <v>-3.3000000000000002E-2</v>
      </c>
      <c r="F72" s="31">
        <v>188.95</v>
      </c>
      <c r="G72" s="31">
        <v>1.325</v>
      </c>
      <c r="H72" s="32">
        <v>-2.1700000000000001E-3</v>
      </c>
      <c r="I72" s="31">
        <v>0</v>
      </c>
      <c r="J72" s="32"/>
      <c r="K72" s="31" t="s">
        <v>217</v>
      </c>
      <c r="L72" s="31">
        <v>2.6829999999999998</v>
      </c>
      <c r="M72" s="31">
        <v>101.952</v>
      </c>
      <c r="O72" s="31">
        <v>-5.13</v>
      </c>
      <c r="P72" s="31">
        <v>39.695377000000001</v>
      </c>
      <c r="Q72" s="31">
        <v>111045722112</v>
      </c>
    </row>
    <row r="73" spans="1:17" x14ac:dyDescent="0.3">
      <c r="A73" s="1">
        <v>81</v>
      </c>
      <c r="B73" s="6" t="s">
        <v>219</v>
      </c>
      <c r="C73" s="6" t="s">
        <v>218</v>
      </c>
      <c r="D73" s="32">
        <v>0.27445000000000003</v>
      </c>
      <c r="E73" s="32">
        <v>0.219</v>
      </c>
      <c r="F73" s="31">
        <v>240.69</v>
      </c>
      <c r="G73" s="31">
        <v>0.77300000000000002</v>
      </c>
      <c r="H73" s="32">
        <v>4.3479999999999998E-2</v>
      </c>
      <c r="I73" s="31">
        <v>434.983</v>
      </c>
      <c r="J73" s="32">
        <v>0.34477999999999998</v>
      </c>
      <c r="K73" s="31" t="s">
        <v>220</v>
      </c>
      <c r="L73" s="31">
        <v>19.03</v>
      </c>
      <c r="M73" s="31">
        <v>30.07</v>
      </c>
      <c r="N73" s="31">
        <v>20.256691</v>
      </c>
      <c r="O73" s="31">
        <v>2.96</v>
      </c>
      <c r="P73" s="31">
        <v>44.082417</v>
      </c>
      <c r="Q73" s="31">
        <v>109613596672</v>
      </c>
    </row>
    <row r="74" spans="1:17" x14ac:dyDescent="0.3">
      <c r="A74" s="1">
        <v>82</v>
      </c>
      <c r="B74" s="6" t="s">
        <v>221</v>
      </c>
      <c r="C74" s="6" t="s">
        <v>98</v>
      </c>
      <c r="D74" s="32">
        <v>8.3960000000000007E-2</v>
      </c>
      <c r="E74" s="32">
        <v>9.1999999999999998E-2</v>
      </c>
      <c r="F74" s="31">
        <v>558.26</v>
      </c>
      <c r="G74" s="31">
        <v>0.28599999999999998</v>
      </c>
      <c r="H74" s="32">
        <v>4.6019999999999998E-2</v>
      </c>
      <c r="I74" s="31">
        <v>417.43</v>
      </c>
      <c r="J74" s="32">
        <v>0.17694001000000001</v>
      </c>
      <c r="K74" s="31" t="s">
        <v>222</v>
      </c>
      <c r="L74" s="31">
        <v>4.03</v>
      </c>
      <c r="M74" s="31">
        <v>10.281000000000001</v>
      </c>
      <c r="N74" s="31">
        <v>5.8773489999999997</v>
      </c>
      <c r="O74" s="31">
        <v>0.77</v>
      </c>
      <c r="P74" s="31">
        <v>17.852893999999999</v>
      </c>
      <c r="Q74" s="31">
        <v>100091002880</v>
      </c>
    </row>
    <row r="75" spans="1:17" x14ac:dyDescent="0.3">
      <c r="A75" s="1">
        <v>83</v>
      </c>
      <c r="B75" s="6" t="s">
        <v>224</v>
      </c>
      <c r="C75" s="6" t="s">
        <v>223</v>
      </c>
      <c r="D75" s="32">
        <v>-5.1999999999999995E-4</v>
      </c>
      <c r="E75" s="32">
        <v>-5.0000000000000001E-3</v>
      </c>
      <c r="F75" s="31">
        <v>94.02</v>
      </c>
      <c r="G75" s="31">
        <v>1.796</v>
      </c>
      <c r="H75" s="32">
        <v>4.5100000000000001E-3</v>
      </c>
      <c r="I75" s="31">
        <v>169.12299999999999</v>
      </c>
      <c r="J75" s="32">
        <v>4.8779997999999998E-2</v>
      </c>
      <c r="K75" s="31" t="s">
        <v>225</v>
      </c>
      <c r="L75" s="31">
        <v>1.98</v>
      </c>
      <c r="M75" s="31">
        <v>21.542000000000002</v>
      </c>
      <c r="N75" s="31">
        <v>2.7554069000000001</v>
      </c>
      <c r="O75" s="31">
        <v>6.96</v>
      </c>
      <c r="P75" s="31">
        <v>23.68262</v>
      </c>
      <c r="Q75" s="31">
        <v>103247118336</v>
      </c>
    </row>
    <row r="76" spans="1:17" x14ac:dyDescent="0.3">
      <c r="A76" s="1">
        <v>84</v>
      </c>
      <c r="B76" s="6" t="s">
        <v>227</v>
      </c>
      <c r="C76" s="6" t="s">
        <v>226</v>
      </c>
      <c r="D76" s="32">
        <v>0.29852000000000001</v>
      </c>
      <c r="E76" s="32">
        <v>0.16700000000000001</v>
      </c>
      <c r="F76" s="31">
        <v>286.87</v>
      </c>
      <c r="G76" s="31">
        <v>5.0830000000000002</v>
      </c>
      <c r="H76" s="32">
        <v>9.2069999999999999E-2</v>
      </c>
      <c r="I76" s="31">
        <v>0.72799999999999998</v>
      </c>
      <c r="J76" s="32">
        <v>0.15919</v>
      </c>
      <c r="K76" s="31" t="s">
        <v>228</v>
      </c>
      <c r="L76" s="31">
        <v>17.62</v>
      </c>
      <c r="M76" s="31">
        <v>47.271999999999998</v>
      </c>
      <c r="N76" s="31">
        <v>8.9801219999999997</v>
      </c>
      <c r="O76" s="31">
        <v>4.1500000000000004</v>
      </c>
      <c r="P76" s="31">
        <v>51.502690000000001</v>
      </c>
      <c r="Q76" s="31">
        <v>102480576512</v>
      </c>
    </row>
    <row r="77" spans="1:17" x14ac:dyDescent="0.3">
      <c r="A77" s="1">
        <v>85</v>
      </c>
      <c r="B77" s="6" t="s">
        <v>229</v>
      </c>
      <c r="C77" s="6" t="s">
        <v>71</v>
      </c>
      <c r="D77" s="32">
        <v>6.5619999999999998E-2</v>
      </c>
      <c r="E77" s="32">
        <v>0.13300000000000001</v>
      </c>
      <c r="F77" s="31">
        <v>218.61</v>
      </c>
      <c r="G77" s="31">
        <v>0.96699999999999997</v>
      </c>
      <c r="H77" s="32">
        <v>0.10204001</v>
      </c>
      <c r="I77" s="31">
        <v>112.28700000000001</v>
      </c>
      <c r="J77" s="32">
        <v>0.50011002999999998</v>
      </c>
      <c r="K77" s="31" t="s">
        <v>230</v>
      </c>
      <c r="L77" s="31">
        <v>0.98199999999999998</v>
      </c>
      <c r="M77" s="31">
        <v>9.0909999999999993</v>
      </c>
      <c r="N77" s="31">
        <v>7.6165422999999999</v>
      </c>
      <c r="O77" s="31">
        <v>1.19</v>
      </c>
      <c r="P77" s="31">
        <v>16.338566</v>
      </c>
      <c r="Q77" s="31">
        <v>104741298176</v>
      </c>
    </row>
    <row r="78" spans="1:17" x14ac:dyDescent="0.3">
      <c r="A78" s="1">
        <v>86</v>
      </c>
      <c r="B78" s="6" t="s">
        <v>231</v>
      </c>
      <c r="C78" s="6" t="s">
        <v>141</v>
      </c>
      <c r="D78" s="32">
        <v>0.14468998999999999</v>
      </c>
      <c r="E78" s="32">
        <v>0.193</v>
      </c>
      <c r="F78" s="31">
        <v>87.45</v>
      </c>
      <c r="G78" s="31">
        <v>0.81299999999999994</v>
      </c>
      <c r="H78" s="32">
        <v>0.104770005</v>
      </c>
      <c r="I78" s="31">
        <v>0</v>
      </c>
      <c r="J78" s="32"/>
      <c r="K78" s="31" t="s">
        <v>232</v>
      </c>
      <c r="L78" s="31">
        <v>4.0599999999999996</v>
      </c>
      <c r="M78" s="31">
        <v>19.108000000000001</v>
      </c>
    </row>
    <row r="79" spans="1:17" x14ac:dyDescent="0.3">
      <c r="A79" s="1">
        <v>87</v>
      </c>
      <c r="B79" s="6" t="s">
        <v>233</v>
      </c>
      <c r="C79" s="6" t="s">
        <v>74</v>
      </c>
      <c r="D79" s="32">
        <v>0.17829001</v>
      </c>
      <c r="E79" s="32">
        <v>0.23300000000000001</v>
      </c>
      <c r="F79" s="31">
        <v>274.89</v>
      </c>
      <c r="G79" s="31">
        <v>1.7829999999999999</v>
      </c>
      <c r="H79" s="32">
        <v>0.10375</v>
      </c>
      <c r="I79" s="31">
        <v>114.934</v>
      </c>
      <c r="J79" s="32">
        <v>0.53242999999999996</v>
      </c>
      <c r="K79" s="31" t="s">
        <v>234</v>
      </c>
      <c r="L79" s="31">
        <v>8.1379999999999999</v>
      </c>
      <c r="M79" s="31">
        <v>35.073999999999998</v>
      </c>
      <c r="N79" s="31">
        <v>16.303305000000002</v>
      </c>
      <c r="O79" s="31">
        <v>3.39</v>
      </c>
      <c r="P79" s="31">
        <v>32.226260000000003</v>
      </c>
      <c r="Q79" s="31">
        <v>98945835008</v>
      </c>
    </row>
    <row r="80" spans="1:17" x14ac:dyDescent="0.3">
      <c r="A80" s="1">
        <v>88</v>
      </c>
      <c r="B80" s="6" t="s">
        <v>235</v>
      </c>
      <c r="C80" s="6" t="s">
        <v>126</v>
      </c>
      <c r="D80" s="32">
        <v>0.113979995</v>
      </c>
      <c r="E80" s="32">
        <v>0.113</v>
      </c>
      <c r="F80" s="31">
        <v>266</v>
      </c>
      <c r="G80" s="31">
        <v>2.1259999999999999</v>
      </c>
      <c r="H80" s="32">
        <v>6.8849999999999995E-2</v>
      </c>
      <c r="I80" s="31">
        <v>92.093000000000004</v>
      </c>
      <c r="J80" s="32">
        <v>0.13988999999999999</v>
      </c>
      <c r="K80" s="31" t="s">
        <v>236</v>
      </c>
      <c r="L80" s="31">
        <v>6.9109999999999996</v>
      </c>
      <c r="M80" s="31">
        <v>24.861000000000001</v>
      </c>
      <c r="N80" s="31">
        <v>7.0774800000000004</v>
      </c>
      <c r="O80" s="31">
        <v>2.29</v>
      </c>
      <c r="P80" s="31">
        <v>26.155360000000002</v>
      </c>
      <c r="Q80" s="31">
        <v>100345839616</v>
      </c>
    </row>
    <row r="81" spans="1:17" x14ac:dyDescent="0.3">
      <c r="A81" s="1">
        <v>89</v>
      </c>
      <c r="B81" s="6" t="s">
        <v>237</v>
      </c>
      <c r="C81" s="6" t="s">
        <v>172</v>
      </c>
      <c r="D81" s="32">
        <v>0.13164000000000001</v>
      </c>
      <c r="E81" s="32">
        <v>-2.5999999999999999E-2</v>
      </c>
      <c r="F81" s="31">
        <v>53.62</v>
      </c>
      <c r="G81" s="31">
        <v>0.74199999999999999</v>
      </c>
      <c r="H81" s="32">
        <v>0.17232001</v>
      </c>
      <c r="I81" s="31">
        <v>0</v>
      </c>
      <c r="J81" s="32">
        <v>2.7119799000000002</v>
      </c>
      <c r="K81" s="31" t="s">
        <v>238</v>
      </c>
      <c r="L81" s="31">
        <v>5.593</v>
      </c>
      <c r="M81" s="31">
        <v>9.7119999999999997</v>
      </c>
      <c r="O81" s="31">
        <v>2.06</v>
      </c>
      <c r="P81" s="31">
        <v>11.101449000000001</v>
      </c>
      <c r="Q81" s="31">
        <v>98499395584</v>
      </c>
    </row>
    <row r="82" spans="1:17" x14ac:dyDescent="0.3">
      <c r="A82" s="1">
        <v>90</v>
      </c>
      <c r="B82" s="6" t="s">
        <v>240</v>
      </c>
      <c r="C82" s="6" t="s">
        <v>239</v>
      </c>
      <c r="D82" s="32">
        <v>4.1450000000000001E-2</v>
      </c>
      <c r="E82" s="32">
        <v>0.77100000000000002</v>
      </c>
      <c r="F82" s="31">
        <v>2247.9299999999998</v>
      </c>
      <c r="G82" s="31">
        <v>2.4830000000000001</v>
      </c>
      <c r="H82" s="32">
        <v>4.3749999999999997E-2</v>
      </c>
      <c r="I82" s="31">
        <v>208.00700000000001</v>
      </c>
      <c r="J82" s="32">
        <v>7.3050000000000004E-2</v>
      </c>
      <c r="K82" s="31" t="s">
        <v>241</v>
      </c>
      <c r="L82" s="31">
        <v>10.916</v>
      </c>
      <c r="M82" s="31">
        <v>49.575000000000003</v>
      </c>
      <c r="N82" s="31">
        <v>16.647017000000002</v>
      </c>
      <c r="O82" s="31">
        <v>0.27</v>
      </c>
      <c r="P82" s="31">
        <v>22.394200999999999</v>
      </c>
      <c r="Q82" s="31">
        <v>92299550720</v>
      </c>
    </row>
    <row r="83" spans="1:17" x14ac:dyDescent="0.3">
      <c r="A83" s="1">
        <v>91</v>
      </c>
      <c r="B83" s="6" t="s">
        <v>243</v>
      </c>
      <c r="C83" s="6" t="s">
        <v>242</v>
      </c>
      <c r="D83" s="32">
        <v>0.17480000000000001</v>
      </c>
      <c r="E83" s="32">
        <v>8.8999999999999996E-2</v>
      </c>
      <c r="F83" s="31">
        <v>219.04</v>
      </c>
      <c r="G83" s="31">
        <v>1.0409999999999999</v>
      </c>
      <c r="H83" s="32">
        <v>4.1329999999999999E-2</v>
      </c>
      <c r="I83" s="31">
        <v>68.328000000000003</v>
      </c>
      <c r="J83" s="32">
        <v>0.50117</v>
      </c>
      <c r="K83" s="31" t="s">
        <v>244</v>
      </c>
      <c r="L83" s="31">
        <v>5.6710000000000003</v>
      </c>
      <c r="M83" s="31">
        <v>21.742000000000001</v>
      </c>
      <c r="N83" s="31">
        <v>17.27581</v>
      </c>
      <c r="O83" s="31">
        <v>2.58</v>
      </c>
      <c r="P83" s="31">
        <v>29.322624000000001</v>
      </c>
      <c r="Q83" s="31">
        <v>92299952128</v>
      </c>
    </row>
    <row r="84" spans="1:17" x14ac:dyDescent="0.3">
      <c r="A84" s="1">
        <v>92</v>
      </c>
      <c r="B84" s="6" t="s">
        <v>246</v>
      </c>
      <c r="C84" s="6" t="s">
        <v>245</v>
      </c>
      <c r="D84" s="32">
        <v>0.21836</v>
      </c>
      <c r="E84" s="32">
        <v>0.14000000000000001</v>
      </c>
      <c r="F84" s="31">
        <v>217.78</v>
      </c>
      <c r="G84" s="31">
        <v>0.34200000000000003</v>
      </c>
      <c r="H84" s="32">
        <v>2.5390000999999999E-2</v>
      </c>
      <c r="I84" s="31">
        <v>32.665999999999997</v>
      </c>
      <c r="J84" s="32">
        <v>0.15235000000000001</v>
      </c>
      <c r="K84" s="31" t="s">
        <v>247</v>
      </c>
      <c r="L84" s="31">
        <v>2.5670000000000002</v>
      </c>
      <c r="M84" s="31">
        <v>12.718999999999999</v>
      </c>
      <c r="N84" s="31">
        <v>1.5819217000000001</v>
      </c>
      <c r="O84" s="31">
        <v>0.52</v>
      </c>
      <c r="P84" s="31">
        <v>15.0712805</v>
      </c>
      <c r="Q84" s="31">
        <v>93806772224</v>
      </c>
    </row>
    <row r="85" spans="1:17" x14ac:dyDescent="0.3">
      <c r="A85" s="1">
        <v>93</v>
      </c>
      <c r="B85" s="6" t="s">
        <v>249</v>
      </c>
      <c r="C85" s="6" t="s">
        <v>248</v>
      </c>
      <c r="D85" s="32">
        <v>0.26196000000000003</v>
      </c>
      <c r="E85" s="32">
        <v>8.8999999999999996E-2</v>
      </c>
      <c r="F85" s="31">
        <v>189.43</v>
      </c>
      <c r="G85" s="31">
        <v>3.8559999999999999</v>
      </c>
      <c r="H85" s="32">
        <v>0.12773000000000001</v>
      </c>
      <c r="I85" s="31">
        <v>149.47200000000001</v>
      </c>
      <c r="J85" s="32">
        <v>0.48911998000000001</v>
      </c>
      <c r="K85" s="31" t="s">
        <v>250</v>
      </c>
      <c r="L85" s="31">
        <v>12.371</v>
      </c>
      <c r="M85" s="31">
        <v>29.995999999999999</v>
      </c>
      <c r="N85" s="31">
        <v>19.165317999999999</v>
      </c>
      <c r="O85" s="31">
        <v>3.84</v>
      </c>
      <c r="P85" s="31">
        <v>36.499034999999999</v>
      </c>
      <c r="Q85" s="31">
        <v>89624256512</v>
      </c>
    </row>
    <row r="86" spans="1:17" x14ac:dyDescent="0.3">
      <c r="A86" s="1">
        <v>94</v>
      </c>
      <c r="B86" s="6" t="s">
        <v>251</v>
      </c>
      <c r="C86" s="6" t="s">
        <v>179</v>
      </c>
      <c r="D86" s="32">
        <v>0.52595999999999998</v>
      </c>
      <c r="E86" s="32">
        <v>2.8000000000000001E-2</v>
      </c>
      <c r="F86" s="31">
        <v>247.72</v>
      </c>
      <c r="G86" s="31">
        <v>1.008</v>
      </c>
      <c r="H86" s="32">
        <v>1.026E-2</v>
      </c>
      <c r="I86" s="31">
        <v>14.81</v>
      </c>
      <c r="J86" s="32">
        <v>8.9750010000000005E-2</v>
      </c>
      <c r="K86" s="31" t="s">
        <v>252</v>
      </c>
      <c r="L86" s="31">
        <v>18.053999999999998</v>
      </c>
      <c r="M86" s="31">
        <v>28.088999999999999</v>
      </c>
      <c r="N86" s="31">
        <v>3.2558750000000001</v>
      </c>
      <c r="O86" s="31">
        <v>6.61</v>
      </c>
      <c r="P86" s="31">
        <v>33.795360000000002</v>
      </c>
      <c r="Q86" s="31">
        <v>89030320128</v>
      </c>
    </row>
    <row r="87" spans="1:17" x14ac:dyDescent="0.3">
      <c r="A87" s="1">
        <v>95</v>
      </c>
      <c r="B87" s="6" t="s">
        <v>253</v>
      </c>
      <c r="C87" s="6" t="s">
        <v>57</v>
      </c>
      <c r="D87" s="32">
        <v>0.24861999000000001</v>
      </c>
      <c r="E87" s="32">
        <v>0.33200000000000002</v>
      </c>
      <c r="F87" s="31">
        <v>78.099999999999994</v>
      </c>
      <c r="G87" s="31">
        <v>3.101</v>
      </c>
      <c r="H87" s="32">
        <v>9.3430004999999997E-2</v>
      </c>
      <c r="I87" s="31">
        <v>16.561</v>
      </c>
      <c r="J87" s="32">
        <v>0.17163</v>
      </c>
      <c r="K87" s="31" t="s">
        <v>254</v>
      </c>
      <c r="L87" s="31">
        <v>2.7949999999999999</v>
      </c>
      <c r="M87" s="31">
        <v>5.5229999999999997</v>
      </c>
      <c r="N87" s="31">
        <v>1.9036708</v>
      </c>
      <c r="O87" s="31">
        <v>0.45</v>
      </c>
      <c r="P87" s="31">
        <v>6.7854036999999998</v>
      </c>
      <c r="Q87" s="31">
        <v>87485276160</v>
      </c>
    </row>
    <row r="88" spans="1:17" x14ac:dyDescent="0.3">
      <c r="A88" s="1">
        <v>96</v>
      </c>
      <c r="B88" s="6" t="s">
        <v>255</v>
      </c>
      <c r="C88" s="6" t="s">
        <v>57</v>
      </c>
      <c r="D88" s="32">
        <v>0.18998999999999999</v>
      </c>
      <c r="E88" s="32">
        <v>0.53300000000000003</v>
      </c>
      <c r="F88" s="31">
        <v>165.63</v>
      </c>
      <c r="G88" s="31">
        <v>1.9410000000000001</v>
      </c>
      <c r="H88" s="32">
        <v>3.0040000000000001E-2</v>
      </c>
      <c r="I88" s="31">
        <v>18.736000000000001</v>
      </c>
      <c r="J88" s="32">
        <v>5.5630001999999998E-2</v>
      </c>
      <c r="K88" s="31" t="s">
        <v>256</v>
      </c>
      <c r="L88" s="31">
        <v>12.89</v>
      </c>
      <c r="M88" s="31">
        <v>33.122</v>
      </c>
      <c r="N88" s="31">
        <v>2.2902062000000001</v>
      </c>
      <c r="O88" s="31">
        <v>1.57</v>
      </c>
      <c r="P88" s="31">
        <v>19.462983999999999</v>
      </c>
      <c r="Q88" s="31">
        <v>87010574336</v>
      </c>
    </row>
    <row r="89" spans="1:17" x14ac:dyDescent="0.3">
      <c r="A89" s="1">
        <v>97</v>
      </c>
      <c r="B89" s="6" t="s">
        <v>258</v>
      </c>
      <c r="C89" s="6" t="s">
        <v>257</v>
      </c>
      <c r="D89" s="32">
        <v>0.15701999999999999</v>
      </c>
      <c r="E89" s="32">
        <v>7.8E-2</v>
      </c>
      <c r="F89" s="31">
        <v>61.52</v>
      </c>
      <c r="G89" s="31">
        <v>0.73299999999999998</v>
      </c>
      <c r="H89" s="32">
        <v>4.7280002000000002E-2</v>
      </c>
      <c r="I89" s="31">
        <v>73.834000000000003</v>
      </c>
      <c r="J89" s="32">
        <v>0.16311999999999999</v>
      </c>
      <c r="K89" s="31" t="s">
        <v>259</v>
      </c>
      <c r="L89" s="31">
        <v>3.8730000000000002</v>
      </c>
      <c r="M89" s="31">
        <v>17.739000000000001</v>
      </c>
      <c r="N89" s="31">
        <v>3.0981516999999998</v>
      </c>
      <c r="O89" s="31">
        <v>2.62</v>
      </c>
      <c r="P89" s="31">
        <v>19.845161000000001</v>
      </c>
      <c r="Q89" s="31">
        <v>85818556416</v>
      </c>
    </row>
    <row r="90" spans="1:17" x14ac:dyDescent="0.3">
      <c r="A90" s="1">
        <v>99</v>
      </c>
      <c r="B90" s="6" t="s">
        <v>260</v>
      </c>
      <c r="C90" s="6" t="s">
        <v>187</v>
      </c>
      <c r="D90" s="32">
        <v>0.16764000000000001</v>
      </c>
      <c r="E90" s="32">
        <v>7.0999999999999994E-2</v>
      </c>
      <c r="F90" s="31">
        <v>150.46</v>
      </c>
      <c r="G90" s="31">
        <v>1.7050000000000001</v>
      </c>
      <c r="H90" s="32">
        <v>0.10945000000000001</v>
      </c>
      <c r="I90" s="31">
        <v>130.81200000000001</v>
      </c>
      <c r="J90" s="32">
        <v>0.44799998000000002</v>
      </c>
      <c r="K90" s="31" t="s">
        <v>261</v>
      </c>
      <c r="L90" s="31">
        <v>3.3180000000000001</v>
      </c>
      <c r="M90" s="31">
        <v>11.595000000000001</v>
      </c>
      <c r="N90" s="31">
        <v>5.9960947000000004</v>
      </c>
      <c r="O90" s="31">
        <v>2.37</v>
      </c>
      <c r="P90" s="31">
        <v>14.509162</v>
      </c>
      <c r="Q90" s="31">
        <v>86703030272</v>
      </c>
    </row>
    <row r="91" spans="1:17" x14ac:dyDescent="0.3">
      <c r="A91" s="1">
        <v>100</v>
      </c>
      <c r="B91" s="6" t="s">
        <v>262</v>
      </c>
      <c r="C91" s="6" t="s">
        <v>155</v>
      </c>
      <c r="D91" s="32">
        <v>0.12795000000000001</v>
      </c>
      <c r="E91" s="32">
        <v>3.4000000000000002E-2</v>
      </c>
      <c r="F91" s="31">
        <v>109.13</v>
      </c>
      <c r="G91" s="31">
        <v>0.60699999999999998</v>
      </c>
      <c r="H91" s="32">
        <v>2.2190000000000001E-2</v>
      </c>
      <c r="I91" s="31">
        <v>128.98099999999999</v>
      </c>
      <c r="J91" s="32">
        <v>5.5980000000000002E-2</v>
      </c>
      <c r="K91" s="31" t="s">
        <v>263</v>
      </c>
      <c r="L91" s="31">
        <v>6.1509999999999998</v>
      </c>
      <c r="M91" s="31">
        <v>13.042999999999999</v>
      </c>
      <c r="N91" s="31">
        <v>1.7725405000000001</v>
      </c>
      <c r="O91" s="31">
        <v>7.89</v>
      </c>
      <c r="P91" s="31">
        <v>19.95064</v>
      </c>
      <c r="Q91" s="31">
        <v>83958398976</v>
      </c>
    </row>
    <row r="92" spans="1:17" x14ac:dyDescent="0.3">
      <c r="A92" s="1">
        <v>102</v>
      </c>
      <c r="B92" s="6" t="s">
        <v>265</v>
      </c>
      <c r="C92" s="6" t="s">
        <v>264</v>
      </c>
      <c r="D92" s="32">
        <v>0.15858</v>
      </c>
      <c r="E92" s="32">
        <v>0.16300000000000001</v>
      </c>
      <c r="F92" s="31">
        <v>166.11</v>
      </c>
      <c r="G92" s="31">
        <v>1.242</v>
      </c>
      <c r="H92" s="32">
        <v>8.8080000000000006E-2</v>
      </c>
      <c r="I92" s="31">
        <v>117.28700000000001</v>
      </c>
      <c r="J92" s="32">
        <v>0.30992999999999998</v>
      </c>
      <c r="K92" s="31" t="s">
        <v>266</v>
      </c>
      <c r="L92" s="31">
        <v>4.4370000000000003</v>
      </c>
      <c r="M92" s="31">
        <v>15.993</v>
      </c>
      <c r="N92" s="31">
        <v>8.6259549999999994</v>
      </c>
      <c r="O92" s="31">
        <v>2.11</v>
      </c>
      <c r="P92" s="31">
        <v>24.682020000000001</v>
      </c>
      <c r="Q92" s="31">
        <v>83868106752</v>
      </c>
    </row>
    <row r="93" spans="1:17" x14ac:dyDescent="0.3">
      <c r="A93" s="1">
        <v>103</v>
      </c>
      <c r="B93" s="6" t="s">
        <v>267</v>
      </c>
      <c r="C93" s="6" t="s">
        <v>146</v>
      </c>
      <c r="D93" s="32">
        <v>0.30259999999999998</v>
      </c>
      <c r="E93" s="32">
        <v>0.24299999999999999</v>
      </c>
      <c r="F93" s="31">
        <v>36.92</v>
      </c>
      <c r="G93" s="31">
        <v>1.718</v>
      </c>
      <c r="H93" s="32">
        <v>8.0369994E-2</v>
      </c>
      <c r="I93" s="31">
        <v>128.113</v>
      </c>
      <c r="J93" s="32">
        <v>0.27854002</v>
      </c>
      <c r="K93" s="31" t="s">
        <v>268</v>
      </c>
      <c r="L93" s="31">
        <v>8.1999999999999993</v>
      </c>
      <c r="M93" s="31">
        <v>14.984999999999999</v>
      </c>
      <c r="N93" s="31">
        <v>6.2207239999999997</v>
      </c>
      <c r="O93" s="31">
        <v>1.38</v>
      </c>
      <c r="P93" s="31">
        <v>20.741571</v>
      </c>
      <c r="Q93" s="31">
        <v>81887813632</v>
      </c>
    </row>
    <row r="94" spans="1:17" x14ac:dyDescent="0.3">
      <c r="A94" s="1">
        <v>105</v>
      </c>
      <c r="B94" s="6" t="s">
        <v>270</v>
      </c>
      <c r="C94" s="6" t="s">
        <v>269</v>
      </c>
      <c r="D94" s="32">
        <v>0.11328000000000001</v>
      </c>
      <c r="E94" s="32">
        <v>0.14799999999999999</v>
      </c>
      <c r="F94" s="31">
        <v>260.08</v>
      </c>
      <c r="G94" s="31">
        <v>1.377</v>
      </c>
      <c r="H94" s="32">
        <v>0.12033000000000001</v>
      </c>
      <c r="I94" s="31">
        <v>1866.3009999999999</v>
      </c>
      <c r="J94" s="32">
        <v>4.7439200000000001</v>
      </c>
      <c r="K94" s="31" t="s">
        <v>271</v>
      </c>
      <c r="L94" s="31">
        <v>2.0070000000000001</v>
      </c>
      <c r="M94" s="31">
        <v>9.3339999999999996</v>
      </c>
      <c r="O94" s="31">
        <v>0.93</v>
      </c>
      <c r="P94" s="31">
        <v>13.90802</v>
      </c>
      <c r="Q94" s="31">
        <v>80890863616</v>
      </c>
    </row>
    <row r="95" spans="1:17" x14ac:dyDescent="0.3">
      <c r="A95" s="1">
        <v>106</v>
      </c>
      <c r="B95" s="6" t="s">
        <v>272</v>
      </c>
      <c r="C95" s="6" t="s">
        <v>197</v>
      </c>
      <c r="D95" s="32">
        <v>0.27072000000000002</v>
      </c>
      <c r="E95" s="32">
        <v>0.35499999999999998</v>
      </c>
      <c r="F95" s="31">
        <v>554.82000000000005</v>
      </c>
      <c r="G95" s="31">
        <v>3.2690000000000001</v>
      </c>
      <c r="H95" s="32">
        <v>0.19974001</v>
      </c>
      <c r="I95" s="31">
        <v>85.83</v>
      </c>
      <c r="J95" s="32">
        <v>0.75890000000000002</v>
      </c>
      <c r="K95" s="31" t="s">
        <v>273</v>
      </c>
      <c r="L95" s="31">
        <v>6.3879999999999999</v>
      </c>
      <c r="M95" s="31">
        <v>19.324999999999999</v>
      </c>
      <c r="N95" s="31">
        <v>13.423496999999999</v>
      </c>
      <c r="O95" s="31">
        <v>1.28</v>
      </c>
      <c r="P95" s="31">
        <v>15.138335</v>
      </c>
      <c r="Q95" s="31">
        <v>78118109184</v>
      </c>
    </row>
    <row r="96" spans="1:17" x14ac:dyDescent="0.3">
      <c r="A96" s="1">
        <v>107</v>
      </c>
      <c r="B96" s="6" t="s">
        <v>274</v>
      </c>
      <c r="C96" s="6" t="s">
        <v>62</v>
      </c>
      <c r="D96" s="32">
        <v>4.9200002E-2</v>
      </c>
      <c r="E96" s="32">
        <v>8.2000000000000003E-2</v>
      </c>
      <c r="F96" s="31">
        <v>243.58</v>
      </c>
      <c r="G96" s="31">
        <v>0.7</v>
      </c>
      <c r="H96" s="32">
        <v>3.2849999999999997E-2</v>
      </c>
      <c r="I96" s="31">
        <v>73.536000000000001</v>
      </c>
      <c r="J96" s="32">
        <v>0.17627001</v>
      </c>
      <c r="K96" s="31" t="s">
        <v>275</v>
      </c>
      <c r="L96" s="31">
        <v>0.624</v>
      </c>
      <c r="M96" s="31">
        <v>10.478</v>
      </c>
      <c r="N96" s="31">
        <v>1.7024637</v>
      </c>
      <c r="O96" s="31">
        <v>1.04</v>
      </c>
      <c r="P96" s="31">
        <v>10.845058</v>
      </c>
      <c r="Q96" s="31">
        <v>80729235456</v>
      </c>
    </row>
    <row r="97" spans="1:17" x14ac:dyDescent="0.3">
      <c r="A97" s="1">
        <v>108</v>
      </c>
      <c r="B97" s="6" t="s">
        <v>276</v>
      </c>
      <c r="C97" s="6" t="s">
        <v>179</v>
      </c>
      <c r="D97" s="32">
        <v>0.43814999999999998</v>
      </c>
      <c r="E97" s="32">
        <v>0.27700000000000002</v>
      </c>
      <c r="F97" s="31">
        <v>135.26</v>
      </c>
      <c r="G97" s="31">
        <v>1.006</v>
      </c>
      <c r="H97" s="32">
        <v>1.5299999999999999E-2</v>
      </c>
      <c r="I97" s="31">
        <v>66.88</v>
      </c>
      <c r="J97" s="32">
        <v>0.15029999999999999</v>
      </c>
      <c r="K97" s="31" t="s">
        <v>277</v>
      </c>
      <c r="L97" s="31">
        <v>12.733000000000001</v>
      </c>
      <c r="M97" s="31">
        <v>20.966999999999999</v>
      </c>
      <c r="N97" s="31">
        <v>3.5259767000000002</v>
      </c>
      <c r="O97" s="31">
        <v>2.2999999999999998</v>
      </c>
      <c r="P97" s="31">
        <v>24.371169999999999</v>
      </c>
      <c r="Q97" s="31">
        <v>76206022656</v>
      </c>
    </row>
    <row r="98" spans="1:17" x14ac:dyDescent="0.3">
      <c r="A98" s="1">
        <v>109</v>
      </c>
      <c r="B98" s="6" t="s">
        <v>278</v>
      </c>
      <c r="C98" s="6" t="s">
        <v>218</v>
      </c>
      <c r="D98" s="32">
        <v>0.17287000999999999</v>
      </c>
      <c r="E98" s="32">
        <v>0.108</v>
      </c>
      <c r="F98" s="31">
        <v>177.58</v>
      </c>
      <c r="G98" s="31">
        <v>0.61899999999999999</v>
      </c>
      <c r="H98" s="32">
        <v>3.2500000000000001E-2</v>
      </c>
      <c r="I98" s="31">
        <v>327.065</v>
      </c>
      <c r="J98" s="32">
        <v>0.13070999999999999</v>
      </c>
      <c r="K98" s="31" t="s">
        <v>279</v>
      </c>
      <c r="L98" s="31">
        <v>16.202000000000002</v>
      </c>
      <c r="M98" s="31">
        <v>28.43</v>
      </c>
      <c r="N98" s="31">
        <v>9.0123829999999998</v>
      </c>
      <c r="O98" s="31">
        <v>4.34</v>
      </c>
      <c r="P98" s="31">
        <v>53.649548000000003</v>
      </c>
      <c r="Q98" s="31">
        <v>76750610432</v>
      </c>
    </row>
    <row r="99" spans="1:17" x14ac:dyDescent="0.3">
      <c r="A99" s="1">
        <v>110</v>
      </c>
      <c r="B99" s="6" t="s">
        <v>280</v>
      </c>
      <c r="C99" s="6" t="s">
        <v>226</v>
      </c>
      <c r="D99" s="32">
        <v>0.103319995</v>
      </c>
      <c r="E99" s="32">
        <v>7.2999999999999995E-2</v>
      </c>
      <c r="F99" s="31">
        <v>265.67</v>
      </c>
      <c r="G99" s="31">
        <v>1.3340000000000001</v>
      </c>
      <c r="H99" s="32">
        <v>3.9039999999999998E-2</v>
      </c>
      <c r="I99" s="31">
        <v>76.361000000000004</v>
      </c>
      <c r="J99" s="32">
        <v>8.8190004000000002E-2</v>
      </c>
      <c r="K99" s="31" t="s">
        <v>281</v>
      </c>
      <c r="L99" s="31">
        <v>4.4790000000000001</v>
      </c>
      <c r="M99" s="31">
        <v>16.073</v>
      </c>
      <c r="N99" s="31">
        <v>3.1922666999999998</v>
      </c>
      <c r="O99" s="31">
        <v>2.23</v>
      </c>
      <c r="P99" s="31">
        <v>19.420321999999999</v>
      </c>
      <c r="Q99" s="31">
        <v>75727380480</v>
      </c>
    </row>
    <row r="100" spans="1:17" x14ac:dyDescent="0.3">
      <c r="A100" s="1">
        <v>111</v>
      </c>
      <c r="B100" s="6" t="s">
        <v>283</v>
      </c>
      <c r="C100" s="6" t="s">
        <v>282</v>
      </c>
      <c r="D100" s="32">
        <v>0.18848999999999999</v>
      </c>
      <c r="E100" s="32">
        <v>0.371</v>
      </c>
      <c r="F100" s="31">
        <v>51.93</v>
      </c>
      <c r="G100" s="31">
        <v>2.5169999999999999</v>
      </c>
      <c r="H100" s="32">
        <v>0.11497</v>
      </c>
      <c r="I100" s="31">
        <v>42.439</v>
      </c>
      <c r="J100" s="32">
        <v>0.25739000000000001</v>
      </c>
      <c r="K100" s="31" t="s">
        <v>284</v>
      </c>
      <c r="L100" s="31">
        <v>3.4550000000000001</v>
      </c>
      <c r="M100" s="31">
        <v>7.5119999999999996</v>
      </c>
      <c r="N100" s="31">
        <v>5.7091029999999998</v>
      </c>
      <c r="O100" s="31">
        <v>0.48</v>
      </c>
      <c r="P100" s="31">
        <v>14.628169</v>
      </c>
      <c r="Q100" s="31">
        <v>76257648640</v>
      </c>
    </row>
    <row r="101" spans="1:17" x14ac:dyDescent="0.3">
      <c r="A101" s="1">
        <v>112</v>
      </c>
      <c r="B101" s="6" t="s">
        <v>285</v>
      </c>
      <c r="C101" s="6" t="s">
        <v>68</v>
      </c>
      <c r="D101" s="32">
        <v>0.26905000000000001</v>
      </c>
      <c r="E101" s="32">
        <v>0.128</v>
      </c>
      <c r="F101" s="31">
        <v>58.91</v>
      </c>
      <c r="G101" s="31">
        <v>1.3660000000000001</v>
      </c>
      <c r="H101" s="32">
        <v>0.12683</v>
      </c>
      <c r="I101" s="31">
        <v>128.946</v>
      </c>
      <c r="J101" s="32">
        <v>0.37846002000000001</v>
      </c>
      <c r="K101" s="31" t="s">
        <v>286</v>
      </c>
      <c r="L101" s="31">
        <v>4.0629999999999997</v>
      </c>
      <c r="M101" s="31">
        <v>7.48</v>
      </c>
      <c r="N101" s="31">
        <v>3.4434182999999998</v>
      </c>
      <c r="O101" s="31">
        <v>6.77</v>
      </c>
      <c r="P101" s="31">
        <v>8.6632350000000002</v>
      </c>
      <c r="Q101" s="31">
        <v>73895526400</v>
      </c>
    </row>
    <row r="102" spans="1:17" x14ac:dyDescent="0.3">
      <c r="A102" s="1">
        <v>113</v>
      </c>
      <c r="B102" s="6" t="s">
        <v>287</v>
      </c>
      <c r="C102" s="6" t="s">
        <v>155</v>
      </c>
      <c r="D102" s="32">
        <v>0.10353</v>
      </c>
      <c r="E102" s="32">
        <v>0.127</v>
      </c>
      <c r="F102" s="31">
        <v>70.930000000000007</v>
      </c>
      <c r="G102" s="31">
        <v>0.82099999999999995</v>
      </c>
      <c r="H102" s="32">
        <v>2.0380002000000001E-2</v>
      </c>
      <c r="I102" s="31">
        <v>170.41499999999999</v>
      </c>
      <c r="J102" s="32">
        <v>7.0480000000000001E-2</v>
      </c>
      <c r="K102" s="31" t="s">
        <v>288</v>
      </c>
      <c r="L102" s="31">
        <v>5.6260000000000003</v>
      </c>
      <c r="M102" s="31">
        <v>16.143000000000001</v>
      </c>
      <c r="N102" s="31">
        <v>2.6202437999999999</v>
      </c>
      <c r="O102" s="31">
        <v>3.18</v>
      </c>
      <c r="P102" s="31">
        <v>20.036724</v>
      </c>
      <c r="Q102" s="31">
        <v>75171610624</v>
      </c>
    </row>
    <row r="103" spans="1:17" x14ac:dyDescent="0.3">
      <c r="A103" s="1">
        <v>114</v>
      </c>
      <c r="B103" s="6" t="s">
        <v>290</v>
      </c>
      <c r="C103" s="6" t="s">
        <v>289</v>
      </c>
      <c r="D103" s="32">
        <v>0.5968</v>
      </c>
      <c r="E103" s="32">
        <v>30.65</v>
      </c>
      <c r="F103" s="31">
        <v>165.92</v>
      </c>
      <c r="G103" s="31">
        <v>1.3480000000000001</v>
      </c>
      <c r="H103" s="32">
        <v>0.372</v>
      </c>
      <c r="I103" s="31">
        <v>5.758</v>
      </c>
      <c r="J103" s="32">
        <v>1.09609</v>
      </c>
      <c r="K103" s="31" t="s">
        <v>291</v>
      </c>
      <c r="L103" s="31">
        <v>7.2830000000000004</v>
      </c>
      <c r="M103" s="31">
        <v>11.087</v>
      </c>
      <c r="N103" s="31">
        <v>6.6373309999999996</v>
      </c>
      <c r="O103" s="31">
        <v>0.54</v>
      </c>
      <c r="P103" s="31">
        <v>6.2682279999999997</v>
      </c>
      <c r="Q103" s="31">
        <v>67272261632</v>
      </c>
    </row>
    <row r="104" spans="1:17" x14ac:dyDescent="0.3">
      <c r="A104" s="1">
        <v>115</v>
      </c>
      <c r="B104" s="6" t="s">
        <v>292</v>
      </c>
      <c r="C104" s="6" t="s">
        <v>289</v>
      </c>
      <c r="D104" s="32">
        <v>0.50244999999999995</v>
      </c>
      <c r="E104" s="32">
        <v>1.044</v>
      </c>
      <c r="F104" s="31">
        <v>680.03</v>
      </c>
      <c r="G104" s="31">
        <v>3.5640000000000001</v>
      </c>
      <c r="H104" s="32">
        <v>0.26252999999999999</v>
      </c>
      <c r="I104" s="31">
        <v>14.384</v>
      </c>
      <c r="J104" s="32">
        <v>0.54207002999999998</v>
      </c>
      <c r="K104" s="31" t="s">
        <v>293</v>
      </c>
      <c r="L104" s="31">
        <v>3.9220000000000002</v>
      </c>
      <c r="M104" s="31">
        <v>6.8280000000000003</v>
      </c>
      <c r="N104" s="31">
        <v>4.1586455999999998</v>
      </c>
      <c r="O104" s="31">
        <v>0.67</v>
      </c>
      <c r="P104" s="31">
        <v>14.223594</v>
      </c>
      <c r="Q104" s="31">
        <v>73132466176</v>
      </c>
    </row>
    <row r="105" spans="1:17" x14ac:dyDescent="0.3">
      <c r="A105" s="1">
        <v>116</v>
      </c>
      <c r="B105" s="6" t="s">
        <v>295</v>
      </c>
      <c r="C105" s="6" t="s">
        <v>294</v>
      </c>
      <c r="D105" s="32">
        <v>5.8459999999999998E-2</v>
      </c>
      <c r="E105" s="32">
        <v>0.23899999999999999</v>
      </c>
      <c r="F105" s="31">
        <v>61.29</v>
      </c>
      <c r="G105" s="31">
        <v>1.2869999999999999</v>
      </c>
      <c r="H105" s="32">
        <v>7.8009999999999996E-2</v>
      </c>
      <c r="I105" s="31">
        <v>198.94200000000001</v>
      </c>
      <c r="J105" s="32">
        <v>0.44425999999999999</v>
      </c>
      <c r="K105" s="31" t="s">
        <v>296</v>
      </c>
      <c r="L105" s="31">
        <v>2.137</v>
      </c>
      <c r="M105" s="31">
        <v>20.727</v>
      </c>
      <c r="N105" s="31">
        <v>11.358414</v>
      </c>
      <c r="O105" s="31">
        <v>0.19</v>
      </c>
      <c r="P105" s="31">
        <v>18.295522999999999</v>
      </c>
      <c r="Q105" s="31">
        <v>73111617536</v>
      </c>
    </row>
    <row r="106" spans="1:17" x14ac:dyDescent="0.3">
      <c r="A106" s="1">
        <v>117</v>
      </c>
      <c r="B106" s="6" t="s">
        <v>297</v>
      </c>
      <c r="C106" s="6" t="s">
        <v>146</v>
      </c>
      <c r="D106" s="32">
        <v>0.26843</v>
      </c>
      <c r="E106" s="32">
        <v>0.13800000000000001</v>
      </c>
      <c r="F106" s="31">
        <v>283.36</v>
      </c>
      <c r="G106" s="31">
        <v>1.129</v>
      </c>
      <c r="H106" s="32">
        <v>7.1650000000000005E-2</v>
      </c>
      <c r="I106" s="31">
        <v>103.449</v>
      </c>
      <c r="J106" s="32">
        <v>0.20230000000000001</v>
      </c>
      <c r="K106" s="31" t="s">
        <v>298</v>
      </c>
      <c r="L106" s="31">
        <v>7.8330000000000002</v>
      </c>
      <c r="M106" s="31">
        <v>15.273</v>
      </c>
      <c r="N106" s="31">
        <v>4.9653910000000003</v>
      </c>
      <c r="O106" s="31">
        <v>1.39</v>
      </c>
      <c r="P106" s="31">
        <v>20.622997000000002</v>
      </c>
      <c r="Q106" s="31">
        <v>68954234880</v>
      </c>
    </row>
    <row r="107" spans="1:17" x14ac:dyDescent="0.3">
      <c r="A107" s="1">
        <v>118</v>
      </c>
      <c r="B107" s="6" t="s">
        <v>299</v>
      </c>
      <c r="C107" s="6" t="s">
        <v>165</v>
      </c>
      <c r="D107" s="32">
        <v>0.19639999</v>
      </c>
      <c r="E107" s="32">
        <v>-0.154</v>
      </c>
      <c r="F107" s="31">
        <v>458.18</v>
      </c>
      <c r="G107" s="31">
        <v>1.304</v>
      </c>
      <c r="H107" s="32">
        <v>0.10762998999999999</v>
      </c>
      <c r="I107" s="31">
        <v>113.392</v>
      </c>
      <c r="J107" s="32">
        <v>0.59604000000000001</v>
      </c>
      <c r="K107" s="31" t="s">
        <v>300</v>
      </c>
      <c r="L107" s="31">
        <v>2.4039999999999999</v>
      </c>
      <c r="M107" s="31">
        <v>9.8160000000000007</v>
      </c>
      <c r="N107" s="31">
        <v>6.3713093000000001</v>
      </c>
      <c r="O107" s="31">
        <v>2.48</v>
      </c>
      <c r="P107" s="31">
        <v>18.268740000000001</v>
      </c>
      <c r="Q107" s="31">
        <v>72089124864</v>
      </c>
    </row>
    <row r="108" spans="1:17" x14ac:dyDescent="0.3">
      <c r="A108" s="1">
        <v>119</v>
      </c>
      <c r="B108" s="6" t="s">
        <v>301</v>
      </c>
      <c r="C108" s="6" t="s">
        <v>182</v>
      </c>
      <c r="D108" s="32">
        <v>0.18018000000000001</v>
      </c>
      <c r="E108" s="32">
        <v>1.2649999999999999</v>
      </c>
      <c r="F108" s="31">
        <v>124.51</v>
      </c>
      <c r="G108" s="31">
        <v>2.109</v>
      </c>
      <c r="H108" s="32">
        <v>6.9769999999999999E-2</v>
      </c>
      <c r="I108" s="31">
        <v>24.658999999999999</v>
      </c>
      <c r="J108" s="32">
        <v>0.14394000000000001</v>
      </c>
      <c r="K108" s="31" t="s">
        <v>302</v>
      </c>
      <c r="L108" s="31">
        <v>3.3969999999999998</v>
      </c>
      <c r="M108" s="31">
        <v>7.1559999999999997</v>
      </c>
      <c r="N108" s="31">
        <v>3.3465033000000002</v>
      </c>
      <c r="O108" s="31">
        <v>0.15</v>
      </c>
      <c r="P108" s="31">
        <v>12.602226999999999</v>
      </c>
      <c r="Q108" s="31">
        <v>72849555456</v>
      </c>
    </row>
    <row r="109" spans="1:17" x14ac:dyDescent="0.3">
      <c r="A109" s="1">
        <v>120</v>
      </c>
      <c r="B109" s="6" t="s">
        <v>303</v>
      </c>
      <c r="C109" s="6" t="s">
        <v>264</v>
      </c>
      <c r="D109" s="32">
        <v>7.5840004000000003E-2</v>
      </c>
      <c r="E109" s="32">
        <v>0.13300000000000001</v>
      </c>
      <c r="F109" s="31">
        <v>322.94</v>
      </c>
      <c r="G109" s="31">
        <v>1.07</v>
      </c>
      <c r="H109" s="32">
        <v>3.9059999999999997E-2</v>
      </c>
      <c r="I109" s="31">
        <v>412.57100000000003</v>
      </c>
      <c r="J109" s="32">
        <v>0.32707999999999998</v>
      </c>
      <c r="K109" s="31" t="s">
        <v>304</v>
      </c>
      <c r="L109" s="31">
        <v>6.08</v>
      </c>
      <c r="M109" s="31">
        <v>31.815000000000001</v>
      </c>
      <c r="N109" s="31">
        <v>32.368445999999999</v>
      </c>
      <c r="O109" s="31">
        <v>1.78</v>
      </c>
      <c r="P109" s="31">
        <v>24.689602000000001</v>
      </c>
      <c r="Q109" s="31">
        <v>71154016256</v>
      </c>
    </row>
    <row r="110" spans="1:17" x14ac:dyDescent="0.3">
      <c r="A110" s="1">
        <v>121</v>
      </c>
      <c r="B110" s="6" t="s">
        <v>305</v>
      </c>
      <c r="C110" s="6" t="s">
        <v>126</v>
      </c>
      <c r="D110" s="32">
        <v>0.28726000000000002</v>
      </c>
      <c r="E110" s="32">
        <v>0.11600000000000001</v>
      </c>
      <c r="F110" s="31">
        <v>112.37</v>
      </c>
      <c r="G110" s="31">
        <v>3.081</v>
      </c>
      <c r="H110" s="32">
        <v>0.126</v>
      </c>
      <c r="I110" s="31">
        <v>11.829000000000001</v>
      </c>
      <c r="J110" s="32">
        <v>0.28877002000000002</v>
      </c>
      <c r="K110" s="31" t="s">
        <v>306</v>
      </c>
      <c r="L110" s="31">
        <v>12.756</v>
      </c>
      <c r="M110" s="31">
        <v>38.777999999999999</v>
      </c>
      <c r="N110" s="31">
        <v>12.658556000000001</v>
      </c>
      <c r="O110" s="31">
        <v>3.7</v>
      </c>
      <c r="P110" s="31">
        <v>43.554264000000003</v>
      </c>
      <c r="Q110" s="31">
        <v>70156419072</v>
      </c>
    </row>
    <row r="111" spans="1:17" x14ac:dyDescent="0.3">
      <c r="A111" s="1">
        <v>122</v>
      </c>
      <c r="B111" s="6" t="s">
        <v>307</v>
      </c>
      <c r="C111" s="6" t="s">
        <v>165</v>
      </c>
      <c r="D111" s="32">
        <v>8.4659990000000004E-2</v>
      </c>
      <c r="E111" s="32">
        <v>-1.7999999999999999E-2</v>
      </c>
      <c r="F111" s="31">
        <v>244.36</v>
      </c>
      <c r="G111" s="31">
        <v>1.43</v>
      </c>
      <c r="H111" s="32">
        <v>5.4019999999999999E-2</v>
      </c>
      <c r="I111" s="31">
        <v>74.683999999999997</v>
      </c>
      <c r="J111" s="32">
        <v>0.19559999</v>
      </c>
      <c r="K111" s="31" t="s">
        <v>308</v>
      </c>
      <c r="L111" s="31">
        <v>2.0830000000000002</v>
      </c>
      <c r="M111" s="31">
        <v>15.199</v>
      </c>
      <c r="N111" s="31">
        <v>4.3325469999999999</v>
      </c>
      <c r="O111" s="31">
        <v>2.15</v>
      </c>
      <c r="P111" s="31">
        <v>19.627310000000001</v>
      </c>
      <c r="Q111" s="31">
        <v>68230934528</v>
      </c>
    </row>
    <row r="112" spans="1:17" x14ac:dyDescent="0.3">
      <c r="A112" s="1">
        <v>123</v>
      </c>
      <c r="B112" s="6" t="s">
        <v>309</v>
      </c>
      <c r="C112" s="6" t="s">
        <v>245</v>
      </c>
      <c r="D112" s="32">
        <v>7.0279999999999995E-2</v>
      </c>
      <c r="E112" s="32">
        <v>9.4E-2</v>
      </c>
      <c r="F112" s="31">
        <v>116.67</v>
      </c>
      <c r="G112" s="31">
        <v>0.34</v>
      </c>
      <c r="H112" s="32">
        <v>4.0930000000000001E-2</v>
      </c>
      <c r="I112" s="31">
        <v>27.861999999999998</v>
      </c>
      <c r="J112" s="32">
        <v>0.19001000000000001</v>
      </c>
      <c r="K112" s="31" t="s">
        <v>310</v>
      </c>
      <c r="L112" s="31">
        <v>1.4</v>
      </c>
      <c r="M112" s="31">
        <v>14.004</v>
      </c>
      <c r="N112" s="31">
        <v>3.7786632</v>
      </c>
      <c r="O112" s="31">
        <v>-2.77</v>
      </c>
      <c r="P112" s="31">
        <v>25.090322</v>
      </c>
      <c r="Q112" s="31">
        <v>68181946368</v>
      </c>
    </row>
    <row r="113" spans="1:17" x14ac:dyDescent="0.3">
      <c r="A113" s="1">
        <v>124</v>
      </c>
      <c r="B113" s="6" t="s">
        <v>311</v>
      </c>
      <c r="C113" s="6" t="s">
        <v>155</v>
      </c>
      <c r="D113" s="32">
        <v>0.19323999</v>
      </c>
      <c r="E113" s="32">
        <v>-0.11899999999999999</v>
      </c>
      <c r="F113" s="31">
        <v>83.97</v>
      </c>
      <c r="G113" s="31">
        <v>0.70299999999999996</v>
      </c>
      <c r="H113" s="32">
        <v>2.1229999999999999E-2</v>
      </c>
      <c r="I113" s="31">
        <v>152.62200000000001</v>
      </c>
      <c r="J113" s="32">
        <v>9.6390000000000003E-2</v>
      </c>
      <c r="K113" s="31" t="s">
        <v>312</v>
      </c>
      <c r="L113" s="31">
        <v>7.952</v>
      </c>
      <c r="M113" s="31">
        <v>17.488</v>
      </c>
      <c r="N113" s="31">
        <v>2.7740338000000002</v>
      </c>
      <c r="O113" s="31">
        <v>2.9</v>
      </c>
      <c r="P113" s="31">
        <v>20.331717999999999</v>
      </c>
      <c r="Q113" s="31">
        <v>68007972864</v>
      </c>
    </row>
    <row r="114" spans="1:17" x14ac:dyDescent="0.3">
      <c r="A114" s="1">
        <v>125</v>
      </c>
      <c r="B114" s="6" t="s">
        <v>313</v>
      </c>
      <c r="C114" s="6" t="s">
        <v>54</v>
      </c>
      <c r="D114" s="32">
        <v>0.13156000000000001</v>
      </c>
      <c r="E114" s="32">
        <v>4.8000000000000001E-2</v>
      </c>
      <c r="F114" s="31">
        <v>16.47</v>
      </c>
      <c r="G114" s="31">
        <v>1.2010000000000001</v>
      </c>
      <c r="H114" s="32">
        <v>2.5239998E-2</v>
      </c>
      <c r="I114" s="31">
        <v>286.87599999999998</v>
      </c>
      <c r="J114" s="32">
        <v>0.45095003</v>
      </c>
      <c r="K114" s="31" t="s">
        <v>314</v>
      </c>
      <c r="L114" s="31">
        <v>1.2849999999999999</v>
      </c>
      <c r="M114" s="31">
        <v>10.8</v>
      </c>
      <c r="N114" s="31">
        <v>1.798624</v>
      </c>
      <c r="O114" s="31">
        <v>0.16</v>
      </c>
      <c r="P114" s="31">
        <v>8.2763814999999994</v>
      </c>
      <c r="Q114" s="31">
        <v>65818066944</v>
      </c>
    </row>
    <row r="115" spans="1:17" x14ac:dyDescent="0.3">
      <c r="A115" s="1">
        <v>126</v>
      </c>
      <c r="B115" s="6" t="s">
        <v>315</v>
      </c>
      <c r="C115" s="6" t="s">
        <v>223</v>
      </c>
      <c r="D115" s="32">
        <v>0.19134999999999999</v>
      </c>
      <c r="E115" s="32">
        <v>7.4999999999999997E-2</v>
      </c>
      <c r="F115" s="31">
        <v>211.75</v>
      </c>
      <c r="G115" s="31">
        <v>2.1949999999999998</v>
      </c>
      <c r="H115" s="32">
        <v>0.14562</v>
      </c>
      <c r="I115" s="31">
        <v>216.17500000000001</v>
      </c>
      <c r="J115" s="32">
        <v>0.88109999999999999</v>
      </c>
      <c r="K115" s="31" t="s">
        <v>316</v>
      </c>
      <c r="L115" s="31">
        <v>5.8220000000000001</v>
      </c>
      <c r="M115" s="31">
        <v>20.957000000000001</v>
      </c>
      <c r="N115" s="31">
        <v>19.033709000000002</v>
      </c>
      <c r="O115" s="31">
        <v>2.1</v>
      </c>
      <c r="P115" s="31">
        <v>23.294827999999999</v>
      </c>
      <c r="Q115" s="31">
        <v>66464301056</v>
      </c>
    </row>
    <row r="116" spans="1:17" x14ac:dyDescent="0.3">
      <c r="A116" s="1">
        <v>127</v>
      </c>
      <c r="B116" s="6" t="s">
        <v>317</v>
      </c>
      <c r="C116" s="6" t="s">
        <v>210</v>
      </c>
      <c r="D116" s="32">
        <v>0.50629000000000002</v>
      </c>
      <c r="E116" s="32">
        <v>0.22800000000000001</v>
      </c>
      <c r="F116" s="31">
        <v>376</v>
      </c>
      <c r="G116" s="31">
        <v>2.0750000000000002</v>
      </c>
      <c r="H116" s="32">
        <v>7.9799999999999996E-2</v>
      </c>
      <c r="I116" s="31">
        <v>63.881999999999998</v>
      </c>
      <c r="J116" s="32">
        <v>0.19327</v>
      </c>
      <c r="K116" s="31" t="s">
        <v>318</v>
      </c>
      <c r="L116" s="31">
        <v>21.893999999999998</v>
      </c>
      <c r="M116" s="31">
        <v>30.975999999999999</v>
      </c>
      <c r="N116" s="31">
        <v>13.157434</v>
      </c>
      <c r="O116" s="31">
        <v>2.41</v>
      </c>
      <c r="P116" s="31">
        <v>41.003273</v>
      </c>
      <c r="Q116" s="31">
        <v>65933484032</v>
      </c>
    </row>
    <row r="117" spans="1:17" x14ac:dyDescent="0.3">
      <c r="A117" s="1">
        <v>128</v>
      </c>
      <c r="B117" s="6" t="s">
        <v>319</v>
      </c>
      <c r="C117" s="6" t="s">
        <v>113</v>
      </c>
      <c r="D117" s="32">
        <v>8.2339999999999997E-2</v>
      </c>
      <c r="E117" s="32">
        <v>0.1</v>
      </c>
      <c r="F117" s="31">
        <v>100.51</v>
      </c>
      <c r="G117" s="31">
        <v>1.0489999999999999</v>
      </c>
      <c r="H117" s="32">
        <v>2.0879999999999999E-2</v>
      </c>
      <c r="I117" s="31">
        <v>64.415000000000006</v>
      </c>
      <c r="J117" s="32">
        <v>4.1700000000000001E-2</v>
      </c>
      <c r="K117" s="31" t="s">
        <v>320</v>
      </c>
      <c r="L117" s="31">
        <v>5.8860000000000001</v>
      </c>
      <c r="M117" s="31">
        <v>16.611999999999998</v>
      </c>
      <c r="N117" s="31">
        <v>2.0995132999999999</v>
      </c>
      <c r="O117" s="31">
        <v>1.04</v>
      </c>
      <c r="P117" s="31">
        <v>15.534777</v>
      </c>
      <c r="Q117" s="31">
        <v>66359918592</v>
      </c>
    </row>
    <row r="118" spans="1:17" x14ac:dyDescent="0.3">
      <c r="A118" s="1">
        <v>129</v>
      </c>
      <c r="B118" s="6" t="s">
        <v>321</v>
      </c>
      <c r="C118" s="6" t="s">
        <v>158</v>
      </c>
      <c r="D118" s="32">
        <v>0.10001001</v>
      </c>
      <c r="E118" s="32">
        <v>5.0000000000000001E-3</v>
      </c>
      <c r="F118" s="31">
        <v>245.21</v>
      </c>
      <c r="G118" s="31">
        <v>0.83</v>
      </c>
      <c r="H118" s="32">
        <v>8.5949999999999999E-2</v>
      </c>
      <c r="I118" s="31">
        <v>401.78</v>
      </c>
      <c r="J118" s="32">
        <v>0.57045999999999997</v>
      </c>
      <c r="K118" s="31" t="s">
        <v>322</v>
      </c>
      <c r="L118" s="31">
        <v>4.9980000000000002</v>
      </c>
      <c r="M118" s="31">
        <v>28.606000000000002</v>
      </c>
      <c r="N118" s="31">
        <v>23.843834000000001</v>
      </c>
      <c r="O118" s="31">
        <v>3.07</v>
      </c>
      <c r="P118" s="31">
        <v>24.040196999999999</v>
      </c>
      <c r="Q118" s="31">
        <v>64293081088</v>
      </c>
    </row>
    <row r="119" spans="1:17" x14ac:dyDescent="0.3">
      <c r="A119" s="1">
        <v>130</v>
      </c>
      <c r="B119" s="6" t="s">
        <v>323</v>
      </c>
      <c r="C119" s="6" t="s">
        <v>218</v>
      </c>
      <c r="D119" s="32">
        <v>6.54E-2</v>
      </c>
      <c r="E119" s="32">
        <v>0.112</v>
      </c>
      <c r="F119" s="31">
        <v>710.14</v>
      </c>
      <c r="G119" s="31">
        <v>1.6279999999999999</v>
      </c>
      <c r="H119" s="32">
        <v>2.6749999999999999E-2</v>
      </c>
      <c r="I119" s="31">
        <v>142.51400000000001</v>
      </c>
      <c r="J119" s="32">
        <v>4.0480000000000002E-2</v>
      </c>
      <c r="K119" s="31" t="s">
        <v>324</v>
      </c>
      <c r="L119" s="31">
        <v>13.302</v>
      </c>
      <c r="M119" s="31">
        <v>31.363</v>
      </c>
      <c r="N119" s="31">
        <v>6.0500780000000001</v>
      </c>
      <c r="O119" s="31">
        <v>3.99</v>
      </c>
      <c r="P119" s="31">
        <v>91.868049999999997</v>
      </c>
      <c r="Q119" s="31">
        <v>63941857280</v>
      </c>
    </row>
    <row r="120" spans="1:17" x14ac:dyDescent="0.3">
      <c r="A120" s="1">
        <v>131</v>
      </c>
      <c r="B120" s="6" t="s">
        <v>325</v>
      </c>
      <c r="C120" s="6" t="s">
        <v>54</v>
      </c>
      <c r="D120" s="32">
        <v>7.8889996000000004E-2</v>
      </c>
      <c r="E120" s="32">
        <v>-0.105</v>
      </c>
      <c r="F120" s="31">
        <v>43.65</v>
      </c>
      <c r="G120" s="31">
        <v>1.103</v>
      </c>
      <c r="H120" s="32">
        <v>2.9779999000000001E-2</v>
      </c>
      <c r="I120" s="31">
        <v>168.03899999999999</v>
      </c>
      <c r="J120" s="32">
        <v>0.17222000000000001</v>
      </c>
      <c r="K120" s="31" t="s">
        <v>326</v>
      </c>
      <c r="L120" s="31">
        <v>1.2829999999999999</v>
      </c>
      <c r="M120" s="31">
        <v>9.6449999999999996</v>
      </c>
      <c r="N120" s="31">
        <v>1.2091414</v>
      </c>
      <c r="O120" s="31">
        <v>0.64</v>
      </c>
      <c r="P120" s="31">
        <v>6.3909225000000003</v>
      </c>
      <c r="Q120" s="31">
        <v>63373688832</v>
      </c>
    </row>
    <row r="121" spans="1:17" x14ac:dyDescent="0.3">
      <c r="A121" s="1">
        <v>132</v>
      </c>
      <c r="B121" s="6" t="s">
        <v>328</v>
      </c>
      <c r="C121" s="6" t="s">
        <v>327</v>
      </c>
      <c r="D121" s="32">
        <v>0.10092</v>
      </c>
      <c r="E121" s="32">
        <v>0.20799999999999999</v>
      </c>
      <c r="F121" s="31">
        <v>156.28</v>
      </c>
      <c r="G121" s="31">
        <v>0.77600000000000002</v>
      </c>
      <c r="H121" s="32">
        <v>7.0110000000000006E-2</v>
      </c>
      <c r="I121" s="31">
        <v>181.86500000000001</v>
      </c>
      <c r="J121" s="32">
        <v>0.24409</v>
      </c>
      <c r="K121" s="31" t="s">
        <v>329</v>
      </c>
      <c r="L121" s="31">
        <v>4.7149999999999999</v>
      </c>
      <c r="M121" s="31">
        <v>16.558</v>
      </c>
      <c r="N121" s="31">
        <v>9.1146619999999992</v>
      </c>
      <c r="O121" s="31">
        <v>2.2000000000000002</v>
      </c>
      <c r="P121" s="31">
        <v>28.260397000000001</v>
      </c>
      <c r="Q121" s="31">
        <v>65374425088</v>
      </c>
    </row>
    <row r="122" spans="1:17" x14ac:dyDescent="0.3">
      <c r="A122" s="1">
        <v>133</v>
      </c>
      <c r="B122" s="6" t="s">
        <v>330</v>
      </c>
      <c r="C122" s="6" t="s">
        <v>289</v>
      </c>
      <c r="D122" s="32">
        <v>0.30523001999999999</v>
      </c>
      <c r="E122" s="32">
        <v>0.28999999999999998</v>
      </c>
      <c r="F122" s="31">
        <v>253.95</v>
      </c>
      <c r="G122" s="31">
        <v>4.625</v>
      </c>
      <c r="H122" s="32">
        <v>0.13846</v>
      </c>
      <c r="I122" s="31">
        <v>9.1999999999999993</v>
      </c>
      <c r="J122" s="32">
        <v>0.24639</v>
      </c>
      <c r="K122" s="31" t="s">
        <v>331</v>
      </c>
      <c r="L122" s="31">
        <v>7.0579999999999998</v>
      </c>
      <c r="M122" s="31">
        <v>18.163</v>
      </c>
      <c r="N122" s="31">
        <v>6.8267959999999999</v>
      </c>
      <c r="O122" s="31">
        <v>1.71</v>
      </c>
      <c r="P122" s="31">
        <v>18.951491999999998</v>
      </c>
      <c r="Q122" s="31">
        <v>64567296000</v>
      </c>
    </row>
    <row r="123" spans="1:17" x14ac:dyDescent="0.3">
      <c r="A123" s="1">
        <v>134</v>
      </c>
      <c r="B123" s="6" t="s">
        <v>333</v>
      </c>
      <c r="C123" s="6" t="s">
        <v>332</v>
      </c>
      <c r="D123" s="32">
        <v>0.29209000000000002</v>
      </c>
      <c r="E123" s="32">
        <v>5.8999999999999997E-2</v>
      </c>
      <c r="F123" s="31">
        <v>79.599999999999994</v>
      </c>
      <c r="G123" s="31">
        <v>5.5609999999999999</v>
      </c>
      <c r="H123" s="32">
        <v>8.9840000000000003E-2</v>
      </c>
      <c r="I123" s="31">
        <v>21.28</v>
      </c>
      <c r="J123" s="32">
        <v>0.16877001999999999</v>
      </c>
      <c r="K123" s="31" t="s">
        <v>334</v>
      </c>
      <c r="L123" s="31">
        <v>5.0759999999999996</v>
      </c>
      <c r="M123" s="31">
        <v>13.486000000000001</v>
      </c>
      <c r="N123" s="31">
        <v>3.6572480000000001</v>
      </c>
      <c r="O123" s="31">
        <v>1.33</v>
      </c>
      <c r="P123" s="31">
        <v>20.947368999999998</v>
      </c>
      <c r="Q123" s="31">
        <v>61999566848</v>
      </c>
    </row>
    <row r="124" spans="1:17" x14ac:dyDescent="0.3">
      <c r="A124" s="1">
        <v>135</v>
      </c>
      <c r="B124" s="6" t="s">
        <v>336</v>
      </c>
      <c r="C124" s="6" t="s">
        <v>335</v>
      </c>
      <c r="D124" s="32">
        <v>0.16670999</v>
      </c>
      <c r="E124" s="32">
        <v>-8.6999999999999994E-2</v>
      </c>
      <c r="F124" s="31">
        <v>78.95</v>
      </c>
      <c r="G124" s="31">
        <v>2.67</v>
      </c>
      <c r="H124" s="32">
        <v>5.7789996000000003E-2</v>
      </c>
      <c r="I124" s="31">
        <v>26.806000000000001</v>
      </c>
      <c r="J124" s="32">
        <v>7.2529999999999997E-2</v>
      </c>
      <c r="K124" s="31" t="s">
        <v>337</v>
      </c>
      <c r="L124" s="31">
        <v>4.1109999999999998</v>
      </c>
      <c r="M124" s="31">
        <v>8.3059999999999992</v>
      </c>
      <c r="N124" s="31">
        <v>2.7739712999999999</v>
      </c>
      <c r="P124" s="31">
        <v>28.70909</v>
      </c>
      <c r="Q124" s="31">
        <v>62957490176</v>
      </c>
    </row>
    <row r="125" spans="1:17" x14ac:dyDescent="0.3">
      <c r="A125" s="1">
        <v>136</v>
      </c>
      <c r="B125" s="6" t="s">
        <v>338</v>
      </c>
      <c r="C125" s="6" t="s">
        <v>74</v>
      </c>
      <c r="D125" s="32">
        <v>0.12433</v>
      </c>
      <c r="E125" s="32">
        <v>1.7999999999999999E-2</v>
      </c>
      <c r="F125" s="31">
        <v>74.78</v>
      </c>
      <c r="G125" s="31">
        <v>1.085</v>
      </c>
      <c r="H125" s="32">
        <v>0.15467</v>
      </c>
      <c r="I125" s="31">
        <v>808.85699999999997</v>
      </c>
      <c r="J125" s="32">
        <v>2.2567599999999999</v>
      </c>
      <c r="K125" s="31" t="s">
        <v>339</v>
      </c>
      <c r="L125" s="31">
        <v>4.1210000000000004</v>
      </c>
      <c r="M125" s="31">
        <v>16.364999999999998</v>
      </c>
      <c r="N125" s="31">
        <v>106.67618</v>
      </c>
      <c r="O125" s="31">
        <v>4.32</v>
      </c>
      <c r="P125" s="31">
        <v>22.058996</v>
      </c>
      <c r="Q125" s="31">
        <v>63028248576</v>
      </c>
    </row>
    <row r="126" spans="1:17" x14ac:dyDescent="0.3">
      <c r="A126" s="1">
        <v>137</v>
      </c>
      <c r="B126" s="6" t="s">
        <v>340</v>
      </c>
      <c r="C126" s="6" t="s">
        <v>223</v>
      </c>
      <c r="D126" s="32">
        <v>0.10923000400000001</v>
      </c>
      <c r="E126" s="32">
        <v>2.4E-2</v>
      </c>
      <c r="F126" s="31">
        <v>154.18</v>
      </c>
      <c r="G126" s="31">
        <v>1.0409999999999999</v>
      </c>
      <c r="H126" s="32">
        <v>4.675E-2</v>
      </c>
      <c r="I126" s="31">
        <v>54.197000000000003</v>
      </c>
      <c r="J126" s="32">
        <v>0.13658000000000001</v>
      </c>
      <c r="K126" s="31" t="s">
        <v>341</v>
      </c>
      <c r="L126" s="31">
        <v>3.4889999999999999</v>
      </c>
      <c r="M126" s="31">
        <v>20.292000000000002</v>
      </c>
      <c r="N126" s="31">
        <v>3.8479583000000002</v>
      </c>
      <c r="O126" s="31">
        <v>1.23</v>
      </c>
      <c r="P126" s="31">
        <v>20.778974999999999</v>
      </c>
      <c r="Q126" s="31">
        <v>61456146432</v>
      </c>
    </row>
    <row r="127" spans="1:17" x14ac:dyDescent="0.3">
      <c r="A127" s="1">
        <v>138</v>
      </c>
      <c r="B127" s="6" t="s">
        <v>342</v>
      </c>
      <c r="C127" s="6" t="s">
        <v>126</v>
      </c>
      <c r="D127" s="32">
        <v>0.10077999999999999</v>
      </c>
      <c r="E127" s="32">
        <v>0.10299999999999999</v>
      </c>
      <c r="F127" s="31">
        <v>43.5</v>
      </c>
      <c r="G127" s="31">
        <v>1.5489999999999999</v>
      </c>
      <c r="H127" s="32">
        <v>3.9440000000000003E-2</v>
      </c>
      <c r="I127" s="31">
        <v>57.478000000000002</v>
      </c>
      <c r="J127" s="32">
        <v>7.2190000000000004E-2</v>
      </c>
      <c r="K127" s="31" t="s">
        <v>343</v>
      </c>
      <c r="L127" s="31">
        <v>6.077</v>
      </c>
      <c r="M127" s="31">
        <v>22.696999999999999</v>
      </c>
      <c r="N127" s="31">
        <v>3.7649300000000001</v>
      </c>
      <c r="O127" s="31">
        <v>1.18</v>
      </c>
      <c r="P127" s="31">
        <v>23.262032000000001</v>
      </c>
      <c r="Q127" s="31">
        <v>61987061760</v>
      </c>
    </row>
    <row r="128" spans="1:17" x14ac:dyDescent="0.3">
      <c r="A128" s="1">
        <v>139</v>
      </c>
      <c r="B128" s="6" t="s">
        <v>344</v>
      </c>
      <c r="C128" s="6" t="s">
        <v>179</v>
      </c>
      <c r="D128" s="32">
        <v>0.35199000000000003</v>
      </c>
      <c r="E128" s="32">
        <v>0.125</v>
      </c>
      <c r="F128" s="31">
        <v>330.51</v>
      </c>
      <c r="G128" s="31">
        <v>1.5229999999999999</v>
      </c>
      <c r="H128" s="32">
        <v>0.13633001</v>
      </c>
      <c r="I128" s="31">
        <v>307.86500000000001</v>
      </c>
      <c r="J128" s="32">
        <v>0.97448999999999997</v>
      </c>
      <c r="K128" s="31" t="s">
        <v>345</v>
      </c>
      <c r="L128" s="31">
        <v>13.02</v>
      </c>
      <c r="M128" s="31">
        <v>25.216000000000001</v>
      </c>
      <c r="N128" s="31">
        <v>25.283812999999999</v>
      </c>
      <c r="O128" s="31">
        <v>2.5099999999999998</v>
      </c>
      <c r="P128" s="31">
        <v>26.086030999999998</v>
      </c>
      <c r="Q128" s="31">
        <v>61441810432</v>
      </c>
    </row>
    <row r="129" spans="1:17" x14ac:dyDescent="0.3">
      <c r="A129" s="1">
        <v>140</v>
      </c>
      <c r="B129" s="6" t="s">
        <v>346</v>
      </c>
      <c r="C129" s="6" t="s">
        <v>182</v>
      </c>
      <c r="D129" s="32">
        <v>0.11852</v>
      </c>
      <c r="E129" s="32">
        <v>1.7629999999999999</v>
      </c>
      <c r="F129" s="31">
        <v>256.70999999999998</v>
      </c>
      <c r="G129" s="31">
        <v>1.516</v>
      </c>
      <c r="H129" s="32">
        <v>9.3950000000000006E-2</v>
      </c>
      <c r="I129" s="31">
        <v>34.308</v>
      </c>
      <c r="J129" s="32">
        <v>0.12311999999999999</v>
      </c>
      <c r="K129" s="31" t="s">
        <v>347</v>
      </c>
      <c r="L129" s="31">
        <v>3.4289999999999998</v>
      </c>
      <c r="M129" s="31">
        <v>9.1150000000000002</v>
      </c>
      <c r="N129" s="31">
        <v>2.7020400000000002</v>
      </c>
      <c r="O129" s="31">
        <v>0.18</v>
      </c>
      <c r="P129" s="31">
        <v>12.867668</v>
      </c>
      <c r="Q129" s="31">
        <v>62671638528</v>
      </c>
    </row>
    <row r="130" spans="1:17" x14ac:dyDescent="0.3">
      <c r="A130" s="1">
        <v>141</v>
      </c>
      <c r="B130" s="6" t="s">
        <v>349</v>
      </c>
      <c r="C130" s="6" t="s">
        <v>348</v>
      </c>
      <c r="D130" s="32">
        <v>8.2040004E-2</v>
      </c>
      <c r="E130" s="32">
        <v>0.125</v>
      </c>
      <c r="F130" s="31">
        <v>43.68</v>
      </c>
      <c r="G130" s="31">
        <v>1.222</v>
      </c>
      <c r="H130" s="32">
        <v>4.1169999999999998E-2</v>
      </c>
      <c r="I130" s="31">
        <v>98.188000000000002</v>
      </c>
      <c r="J130" s="32">
        <v>0.13883000000000001</v>
      </c>
      <c r="K130" s="31" t="s">
        <v>350</v>
      </c>
      <c r="L130" s="31">
        <v>2.9319999999999999</v>
      </c>
      <c r="M130" s="31">
        <v>15.042</v>
      </c>
      <c r="N130" s="31">
        <v>4.5853453000000002</v>
      </c>
      <c r="O130" s="31">
        <v>0.73</v>
      </c>
      <c r="P130" s="31">
        <v>26.797546000000001</v>
      </c>
      <c r="Q130" s="31">
        <v>61266878464</v>
      </c>
    </row>
    <row r="131" spans="1:17" x14ac:dyDescent="0.3">
      <c r="A131" s="1">
        <v>142</v>
      </c>
      <c r="B131" s="6" t="s">
        <v>351</v>
      </c>
      <c r="C131" s="6" t="s">
        <v>113</v>
      </c>
      <c r="D131" s="32">
        <v>3.0050001999999999E-2</v>
      </c>
      <c r="E131" s="32">
        <v>0.107</v>
      </c>
      <c r="F131" s="31">
        <v>97.45</v>
      </c>
      <c r="G131" s="31">
        <v>0.74</v>
      </c>
      <c r="H131" s="32">
        <v>9.7400000000000004E-3</v>
      </c>
      <c r="I131" s="31">
        <v>43.921999999999997</v>
      </c>
      <c r="J131" s="32">
        <v>8.7399999999999995E-3</v>
      </c>
      <c r="K131" s="31" t="s">
        <v>352</v>
      </c>
      <c r="L131" s="31">
        <v>5.444</v>
      </c>
      <c r="M131" s="31">
        <v>19.178000000000001</v>
      </c>
      <c r="N131" s="31">
        <v>1.2598902999999999</v>
      </c>
      <c r="O131" s="31">
        <v>1.1599999999999999</v>
      </c>
      <c r="P131" s="31">
        <v>13.186738999999999</v>
      </c>
      <c r="Q131" s="31">
        <v>59340910592</v>
      </c>
    </row>
    <row r="132" spans="1:17" x14ac:dyDescent="0.3">
      <c r="A132" s="1">
        <v>143</v>
      </c>
      <c r="B132" s="6" t="s">
        <v>353</v>
      </c>
      <c r="C132" s="6" t="s">
        <v>138</v>
      </c>
      <c r="D132" s="32">
        <v>5.4890000000000001E-2</v>
      </c>
      <c r="E132" s="32">
        <v>0.14199999999999999</v>
      </c>
      <c r="F132" s="31">
        <v>226.56</v>
      </c>
      <c r="G132" s="31">
        <v>1.494</v>
      </c>
      <c r="H132" s="32">
        <v>5.9130000000000002E-2</v>
      </c>
      <c r="I132" s="31">
        <v>147.66999999999999</v>
      </c>
      <c r="J132" s="32">
        <v>0.21384001</v>
      </c>
      <c r="K132" s="31" t="s">
        <v>354</v>
      </c>
      <c r="L132" s="31">
        <v>1.903</v>
      </c>
      <c r="M132" s="31">
        <v>14.535</v>
      </c>
      <c r="N132" s="31">
        <v>2.4070374999999999</v>
      </c>
      <c r="O132" s="31">
        <v>0.73</v>
      </c>
      <c r="P132" s="31">
        <v>9.8418759999999992</v>
      </c>
      <c r="Q132" s="31">
        <v>60031373312</v>
      </c>
    </row>
    <row r="133" spans="1:17" x14ac:dyDescent="0.3">
      <c r="A133" s="1">
        <v>144</v>
      </c>
      <c r="B133" s="6" t="s">
        <v>355</v>
      </c>
      <c r="C133" s="6" t="s">
        <v>223</v>
      </c>
      <c r="D133" s="32">
        <v>0.12629000000000001</v>
      </c>
      <c r="E133" s="32">
        <v>8.5000000000000006E-2</v>
      </c>
      <c r="F133" s="31">
        <v>98.51</v>
      </c>
      <c r="G133" s="31">
        <v>1.35</v>
      </c>
      <c r="H133" s="32">
        <v>8.1259999999999999E-2</v>
      </c>
      <c r="I133" s="31">
        <v>72.891000000000005</v>
      </c>
      <c r="J133" s="32">
        <v>0.25335000000000002</v>
      </c>
      <c r="K133" s="31" t="s">
        <v>356</v>
      </c>
      <c r="L133" s="31">
        <v>3.3959999999999999</v>
      </c>
      <c r="M133" s="31">
        <v>15.907999999999999</v>
      </c>
      <c r="N133" s="31">
        <v>5.9386305999999998</v>
      </c>
      <c r="O133" s="31">
        <v>1.83</v>
      </c>
      <c r="P133" s="31">
        <v>18.447565000000001</v>
      </c>
      <c r="Q133" s="31">
        <v>58682310656</v>
      </c>
    </row>
    <row r="134" spans="1:17" x14ac:dyDescent="0.3">
      <c r="A134" s="1">
        <v>145</v>
      </c>
      <c r="B134" s="6" t="s">
        <v>358</v>
      </c>
      <c r="C134" s="6" t="s">
        <v>357</v>
      </c>
      <c r="D134" s="32">
        <v>7.8210000000000002E-2</v>
      </c>
      <c r="E134" s="32">
        <v>5.6000000000000001E-2</v>
      </c>
      <c r="F134" s="31">
        <v>71.290000000000006</v>
      </c>
      <c r="G134" s="31">
        <v>0.96899999999999997</v>
      </c>
      <c r="H134" s="32">
        <v>6.4099999999999999E-3</v>
      </c>
      <c r="I134" s="31">
        <v>157.91499999999999</v>
      </c>
      <c r="J134" s="32">
        <v>7.7280000000000001E-2</v>
      </c>
      <c r="K134" s="31" t="s">
        <v>359</v>
      </c>
      <c r="L134" s="31">
        <v>1.867</v>
      </c>
      <c r="M134" s="31">
        <v>15.803000000000001</v>
      </c>
      <c r="N134" s="31">
        <v>0.87193160000000003</v>
      </c>
      <c r="O134" s="31">
        <v>0.92</v>
      </c>
      <c r="P134" s="31">
        <v>9.901389</v>
      </c>
      <c r="Q134" s="31">
        <v>59966296064</v>
      </c>
    </row>
    <row r="135" spans="1:17" x14ac:dyDescent="0.3">
      <c r="A135" s="1">
        <v>147</v>
      </c>
      <c r="B135" s="6" t="s">
        <v>361</v>
      </c>
      <c r="C135" s="6" t="s">
        <v>360</v>
      </c>
      <c r="D135" s="32">
        <v>0.16379999000000001</v>
      </c>
      <c r="E135" s="32">
        <v>1.1419999999999999</v>
      </c>
      <c r="F135" s="31">
        <v>171.52</v>
      </c>
      <c r="G135" s="31">
        <v>0.497</v>
      </c>
      <c r="H135" s="32">
        <v>3.4770000000000002E-2</v>
      </c>
      <c r="I135" s="31">
        <v>1163.943</v>
      </c>
      <c r="J135" s="32">
        <v>0.81430000000000002</v>
      </c>
      <c r="K135" s="31" t="s">
        <v>362</v>
      </c>
      <c r="L135" s="31">
        <v>22.67</v>
      </c>
      <c r="M135" s="31">
        <v>39.098999999999997</v>
      </c>
      <c r="N135" s="31">
        <v>60.844273000000001</v>
      </c>
      <c r="O135" s="31">
        <v>0.25</v>
      </c>
      <c r="P135" s="31">
        <v>32.240600000000001</v>
      </c>
      <c r="Q135" s="31">
        <v>55861149696</v>
      </c>
    </row>
    <row r="136" spans="1:17" x14ac:dyDescent="0.3">
      <c r="A136" s="1">
        <v>148</v>
      </c>
      <c r="B136" s="6" t="s">
        <v>363</v>
      </c>
      <c r="C136" s="6" t="s">
        <v>62</v>
      </c>
      <c r="D136" s="32">
        <v>3.252E-2</v>
      </c>
      <c r="E136" s="32">
        <v>8.6999999999999994E-2</v>
      </c>
      <c r="F136" s="31">
        <v>435.54</v>
      </c>
      <c r="G136" s="31">
        <v>1.718</v>
      </c>
      <c r="H136" s="32">
        <v>5.7729996999999998E-2</v>
      </c>
      <c r="I136" s="31">
        <v>76.778000000000006</v>
      </c>
      <c r="J136" s="32">
        <v>0.1668</v>
      </c>
      <c r="K136" s="31" t="s">
        <v>364</v>
      </c>
      <c r="L136" s="31">
        <v>0.65100000000000002</v>
      </c>
      <c r="M136" s="31">
        <v>12.743</v>
      </c>
      <c r="N136" s="31">
        <v>3.4429224</v>
      </c>
      <c r="O136" s="31">
        <v>1.72</v>
      </c>
      <c r="P136" s="31">
        <v>18.147500999999998</v>
      </c>
      <c r="Q136" s="31">
        <v>55981699072</v>
      </c>
    </row>
    <row r="137" spans="1:17" x14ac:dyDescent="0.3">
      <c r="A137" s="1">
        <v>149</v>
      </c>
      <c r="B137" s="6" t="s">
        <v>365</v>
      </c>
      <c r="C137" s="6" t="s">
        <v>197</v>
      </c>
      <c r="D137" s="32">
        <v>0.36523998000000002</v>
      </c>
      <c r="E137" s="32">
        <v>0.35399999999999998</v>
      </c>
      <c r="F137" s="31">
        <v>366.44</v>
      </c>
      <c r="G137" s="31">
        <v>2.4350000000000001</v>
      </c>
      <c r="H137" s="32">
        <v>0.16972999999999999</v>
      </c>
      <c r="I137" s="31">
        <v>91.792000000000002</v>
      </c>
      <c r="J137" s="32">
        <v>0.82329005</v>
      </c>
      <c r="K137" s="31" t="s">
        <v>366</v>
      </c>
      <c r="L137" s="31">
        <v>8.8829999999999991</v>
      </c>
      <c r="M137" s="31">
        <v>21.295999999999999</v>
      </c>
      <c r="N137" s="31">
        <v>14.40239</v>
      </c>
      <c r="O137" s="31">
        <v>1.04</v>
      </c>
      <c r="P137" s="31">
        <v>17.252354</v>
      </c>
      <c r="Q137" s="31">
        <v>55560364032</v>
      </c>
    </row>
    <row r="138" spans="1:17" x14ac:dyDescent="0.3">
      <c r="A138" s="1">
        <v>150</v>
      </c>
      <c r="B138" s="6" t="s">
        <v>367</v>
      </c>
      <c r="C138" s="6" t="s">
        <v>44</v>
      </c>
      <c r="D138" s="32">
        <v>0.17735000000000001</v>
      </c>
      <c r="E138" s="32">
        <v>0.33200000000000002</v>
      </c>
      <c r="F138" s="31">
        <v>332.73</v>
      </c>
      <c r="G138" s="31">
        <v>1.8029999999999999</v>
      </c>
      <c r="H138" s="32">
        <v>7.8520000000000006E-2</v>
      </c>
      <c r="I138" s="31">
        <v>94.32</v>
      </c>
      <c r="J138" s="32">
        <v>0.59995997000000001</v>
      </c>
      <c r="K138" s="31" t="s">
        <v>368</v>
      </c>
      <c r="L138" s="31">
        <v>16.196000000000002</v>
      </c>
      <c r="M138" s="31">
        <v>74.896000000000001</v>
      </c>
      <c r="N138" s="31">
        <v>48.623412999999999</v>
      </c>
      <c r="O138" s="31">
        <v>4.9000000000000004</v>
      </c>
      <c r="P138" s="31">
        <v>72.175704999999994</v>
      </c>
      <c r="Q138" s="31">
        <v>54401355776</v>
      </c>
    </row>
    <row r="139" spans="1:17" x14ac:dyDescent="0.3">
      <c r="A139" s="1">
        <v>151</v>
      </c>
      <c r="B139" s="6" t="s">
        <v>369</v>
      </c>
      <c r="C139" s="6" t="s">
        <v>182</v>
      </c>
      <c r="D139" s="32">
        <v>-1.4730001E-2</v>
      </c>
      <c r="E139" s="32">
        <v>0.65300000000000002</v>
      </c>
      <c r="F139" s="31">
        <v>58.71</v>
      </c>
      <c r="G139" s="31">
        <v>1.085</v>
      </c>
      <c r="H139" s="32">
        <v>1.4049999000000001E-2</v>
      </c>
      <c r="I139" s="31">
        <v>176.321</v>
      </c>
      <c r="J139" s="32">
        <v>4.13E-3</v>
      </c>
      <c r="K139" s="31" t="s">
        <v>370</v>
      </c>
      <c r="L139" s="31">
        <v>3.25</v>
      </c>
      <c r="M139" s="31">
        <v>7.0090000000000003</v>
      </c>
      <c r="N139" s="31">
        <v>6.0184517</v>
      </c>
      <c r="O139" s="31">
        <v>0.42</v>
      </c>
      <c r="P139" s="31">
        <v>20.244827000000001</v>
      </c>
      <c r="Q139" s="31">
        <v>54834024448</v>
      </c>
    </row>
    <row r="140" spans="1:17" x14ac:dyDescent="0.3">
      <c r="A140" s="1">
        <v>152</v>
      </c>
      <c r="B140" s="6" t="s">
        <v>371</v>
      </c>
      <c r="C140" s="6" t="s">
        <v>108</v>
      </c>
      <c r="D140" s="32">
        <v>0.21192</v>
      </c>
      <c r="E140" s="32">
        <v>0.39500000000000002</v>
      </c>
      <c r="F140" s="31">
        <v>341.72</v>
      </c>
      <c r="G140" s="31">
        <v>2.6819999999999999</v>
      </c>
      <c r="H140" s="32">
        <v>3.9280000000000002E-2</v>
      </c>
      <c r="I140" s="31">
        <v>23.95</v>
      </c>
      <c r="J140" s="32">
        <v>0.11862001</v>
      </c>
      <c r="K140" s="31" t="s">
        <v>372</v>
      </c>
      <c r="L140" s="31">
        <v>13.895</v>
      </c>
      <c r="M140" s="31">
        <v>64.784000000000006</v>
      </c>
      <c r="N140" s="31">
        <v>5.0646943999999996</v>
      </c>
      <c r="O140" s="31">
        <v>12.09</v>
      </c>
      <c r="P140" s="31">
        <v>84.794039999999995</v>
      </c>
      <c r="Q140" s="31">
        <v>53410836480</v>
      </c>
    </row>
    <row r="141" spans="1:17" x14ac:dyDescent="0.3">
      <c r="A141" s="1">
        <v>153</v>
      </c>
      <c r="B141" s="6" t="s">
        <v>373</v>
      </c>
      <c r="C141" s="6" t="s">
        <v>158</v>
      </c>
      <c r="D141" s="32">
        <v>0.20333999999999999</v>
      </c>
      <c r="E141" s="32">
        <v>0.22500000000000001</v>
      </c>
      <c r="F141" s="31">
        <v>246.56</v>
      </c>
      <c r="G141" s="31">
        <v>2.992</v>
      </c>
      <c r="H141" s="32">
        <v>5.6570000000000002E-2</v>
      </c>
      <c r="I141" s="31">
        <v>58.573999999999998</v>
      </c>
      <c r="J141" s="32">
        <v>0.15412999999999999</v>
      </c>
      <c r="K141" s="31" t="s">
        <v>374</v>
      </c>
      <c r="L141" s="31">
        <v>6.7119999999999997</v>
      </c>
      <c r="M141" s="31">
        <v>18.852</v>
      </c>
      <c r="N141" s="31">
        <v>4.0316567000000001</v>
      </c>
      <c r="O141" s="31">
        <v>2.2200000000000002</v>
      </c>
      <c r="P141" s="31">
        <v>20.983830000000001</v>
      </c>
      <c r="Q141" s="31">
        <v>54658408448</v>
      </c>
    </row>
    <row r="142" spans="1:17" x14ac:dyDescent="0.3">
      <c r="A142" s="1">
        <v>154</v>
      </c>
      <c r="B142" s="6" t="s">
        <v>376</v>
      </c>
      <c r="C142" s="6" t="s">
        <v>375</v>
      </c>
      <c r="D142" s="32">
        <v>0.11803999499999999</v>
      </c>
      <c r="E142" s="32">
        <v>0.30199999999999999</v>
      </c>
      <c r="F142" s="31">
        <v>64.48</v>
      </c>
      <c r="G142" s="31">
        <v>0.74299999999999999</v>
      </c>
      <c r="H142" s="32">
        <v>8.4100000000000008E-3</v>
      </c>
      <c r="I142" s="31">
        <v>48.051000000000002</v>
      </c>
      <c r="J142" s="32">
        <v>8.906E-2</v>
      </c>
      <c r="K142" s="31" t="s">
        <v>377</v>
      </c>
      <c r="L142" s="31">
        <v>1.3819999999999999</v>
      </c>
      <c r="M142" s="31">
        <v>5.2869999999999999</v>
      </c>
      <c r="N142" s="31">
        <v>0.83711994000000001</v>
      </c>
      <c r="O142" s="31">
        <v>0.41</v>
      </c>
      <c r="P142" s="31">
        <v>12.029851000000001</v>
      </c>
      <c r="Q142" s="31">
        <v>53537615872</v>
      </c>
    </row>
    <row r="143" spans="1:17" x14ac:dyDescent="0.3">
      <c r="A143" s="1">
        <v>155</v>
      </c>
      <c r="B143" s="6" t="s">
        <v>379</v>
      </c>
      <c r="C143" s="6" t="s">
        <v>378</v>
      </c>
      <c r="D143" s="32">
        <v>3.2620000000000003E-2</v>
      </c>
      <c r="E143" s="32">
        <v>0.34499999999999997</v>
      </c>
      <c r="F143" s="31">
        <v>93.49</v>
      </c>
      <c r="G143" s="31">
        <v>1.577</v>
      </c>
      <c r="H143" s="32">
        <v>3.5479999999999998E-2</v>
      </c>
      <c r="I143" s="31">
        <v>44.843000000000004</v>
      </c>
      <c r="J143" s="32">
        <v>0.12636</v>
      </c>
      <c r="K143" s="31" t="s">
        <v>380</v>
      </c>
      <c r="L143" s="31">
        <v>0.60799999999999998</v>
      </c>
      <c r="M143" s="31">
        <v>13.016</v>
      </c>
      <c r="N143" s="31">
        <v>2.3788200000000002</v>
      </c>
      <c r="O143" s="31">
        <v>1.41</v>
      </c>
      <c r="P143" s="31">
        <v>19.558577</v>
      </c>
      <c r="Q143" s="31">
        <v>52302139392</v>
      </c>
    </row>
    <row r="144" spans="1:17" x14ac:dyDescent="0.3">
      <c r="A144" s="1">
        <v>156</v>
      </c>
      <c r="B144" s="6" t="s">
        <v>382</v>
      </c>
      <c r="C144" s="6" t="s">
        <v>381</v>
      </c>
      <c r="D144" s="32">
        <v>9.5449999999999993E-2</v>
      </c>
      <c r="E144" s="32">
        <v>0.14000000000000001</v>
      </c>
      <c r="F144" s="31">
        <v>162.46</v>
      </c>
      <c r="G144" s="31">
        <v>0.35499999999999998</v>
      </c>
      <c r="H144" s="32">
        <v>2.3239998000000001E-2</v>
      </c>
      <c r="I144" s="31">
        <v>107.974</v>
      </c>
      <c r="J144" s="32">
        <v>4.7800000000000002E-2</v>
      </c>
      <c r="K144" s="31" t="s">
        <v>383</v>
      </c>
      <c r="L144" s="31">
        <v>5.7080000000000002</v>
      </c>
      <c r="M144" s="31">
        <v>15.983000000000001</v>
      </c>
      <c r="N144" s="31">
        <v>2.1899307000000001</v>
      </c>
      <c r="O144" s="31">
        <v>3.65</v>
      </c>
      <c r="P144" s="31">
        <v>19.203309999999998</v>
      </c>
      <c r="Q144" s="31">
        <v>51879489536</v>
      </c>
    </row>
    <row r="145" spans="1:17" x14ac:dyDescent="0.3">
      <c r="A145" s="1">
        <v>157</v>
      </c>
      <c r="B145" s="6" t="s">
        <v>384</v>
      </c>
      <c r="C145" s="6" t="s">
        <v>71</v>
      </c>
      <c r="D145" s="32">
        <v>7.1929999999999994E-2</v>
      </c>
      <c r="E145" s="32">
        <v>3.9E-2</v>
      </c>
      <c r="F145" s="31">
        <v>221.47</v>
      </c>
      <c r="G145" s="31">
        <v>1.077</v>
      </c>
      <c r="H145" s="32">
        <v>7.918E-2</v>
      </c>
      <c r="I145" s="31">
        <v>227.684</v>
      </c>
      <c r="J145" s="32">
        <v>0.37108000000000002</v>
      </c>
      <c r="K145" s="31" t="s">
        <v>385</v>
      </c>
      <c r="L145" s="31">
        <v>1.921</v>
      </c>
      <c r="M145" s="31">
        <v>16.64</v>
      </c>
      <c r="N145" s="31">
        <v>8.2904090000000004</v>
      </c>
      <c r="O145" s="31">
        <v>3.47</v>
      </c>
      <c r="P145" s="31">
        <v>19.686222000000001</v>
      </c>
      <c r="Q145" s="31">
        <v>51315929088</v>
      </c>
    </row>
    <row r="146" spans="1:17" x14ac:dyDescent="0.3">
      <c r="A146" s="1">
        <v>158</v>
      </c>
      <c r="B146" s="6" t="s">
        <v>386</v>
      </c>
      <c r="C146" s="6" t="s">
        <v>158</v>
      </c>
      <c r="D146" s="32">
        <v>9.0819999999999998E-2</v>
      </c>
      <c r="E146" s="32">
        <v>0.1</v>
      </c>
      <c r="F146" s="31">
        <v>177.59</v>
      </c>
      <c r="G146" s="31">
        <v>1.7230000000000001</v>
      </c>
      <c r="H146" s="32">
        <v>6.4920000000000005E-2</v>
      </c>
      <c r="I146" s="31">
        <v>90.912999999999997</v>
      </c>
      <c r="J146" s="32">
        <v>0.17579001</v>
      </c>
      <c r="K146" s="31" t="s">
        <v>387</v>
      </c>
      <c r="L146" s="31">
        <v>5.8140000000000001</v>
      </c>
      <c r="M146" s="31">
        <v>26.718</v>
      </c>
      <c r="N146" s="31">
        <v>7.3399463000000003</v>
      </c>
      <c r="O146" s="31">
        <v>2.63</v>
      </c>
      <c r="P146" s="31">
        <v>29.747067999999999</v>
      </c>
      <c r="Q146" s="31">
        <v>50891431936</v>
      </c>
    </row>
    <row r="147" spans="1:17" x14ac:dyDescent="0.3">
      <c r="A147" s="1">
        <v>159</v>
      </c>
      <c r="B147" s="6" t="s">
        <v>388</v>
      </c>
      <c r="C147" s="6" t="s">
        <v>57</v>
      </c>
      <c r="D147" s="32">
        <v>0.14984</v>
      </c>
      <c r="E147" s="32">
        <v>0.26200000000000001</v>
      </c>
      <c r="F147" s="31">
        <v>190.46</v>
      </c>
      <c r="G147" s="31">
        <v>1.373</v>
      </c>
      <c r="H147" s="32">
        <v>7.0529999999999995E-2</v>
      </c>
      <c r="I147" s="31">
        <v>137.59299999999999</v>
      </c>
      <c r="J147" s="32">
        <v>0.20143</v>
      </c>
      <c r="K147" s="31" t="s">
        <v>389</v>
      </c>
      <c r="L147" s="31">
        <v>6.5949999999999998</v>
      </c>
      <c r="M147" s="31">
        <v>19.585999999999999</v>
      </c>
      <c r="N147" s="31">
        <v>7.5286584000000003</v>
      </c>
      <c r="O147" s="31">
        <v>1.01</v>
      </c>
      <c r="P147" s="31">
        <v>15.845257999999999</v>
      </c>
      <c r="Q147" s="31">
        <v>50649600000</v>
      </c>
    </row>
    <row r="148" spans="1:17" x14ac:dyDescent="0.3">
      <c r="A148" s="1">
        <v>160</v>
      </c>
      <c r="B148" s="6" t="s">
        <v>390</v>
      </c>
      <c r="C148" s="6" t="s">
        <v>44</v>
      </c>
      <c r="D148" s="32">
        <v>0.20177998999999999</v>
      </c>
      <c r="E148" s="32">
        <v>0.309</v>
      </c>
      <c r="F148" s="31">
        <v>318.91000000000003</v>
      </c>
      <c r="G148" s="31">
        <v>1.1930000000000001</v>
      </c>
      <c r="H148" s="32">
        <v>7.2319999999999995E-2</v>
      </c>
      <c r="I148" s="31">
        <v>10.771000000000001</v>
      </c>
      <c r="J148" s="32">
        <v>0.17663999</v>
      </c>
      <c r="K148" s="31" t="s">
        <v>391</v>
      </c>
      <c r="L148" s="31">
        <v>10.352</v>
      </c>
      <c r="M148" s="31">
        <v>40.841000000000001</v>
      </c>
      <c r="N148" s="31">
        <v>9.2183840000000004</v>
      </c>
      <c r="O148" s="31">
        <v>3.15</v>
      </c>
      <c r="P148" s="31">
        <v>35.355873000000003</v>
      </c>
      <c r="Q148" s="31">
        <v>48932913152</v>
      </c>
    </row>
    <row r="149" spans="1:17" x14ac:dyDescent="0.3">
      <c r="A149" s="1">
        <v>161</v>
      </c>
      <c r="B149" s="6" t="s">
        <v>392</v>
      </c>
      <c r="C149" s="6" t="s">
        <v>165</v>
      </c>
      <c r="D149" s="32">
        <v>8.5800000000000001E-2</v>
      </c>
      <c r="E149" s="32">
        <v>-5.1999999999999998E-2</v>
      </c>
      <c r="F149" s="31">
        <v>257.85000000000002</v>
      </c>
      <c r="G149" s="31">
        <v>1.536</v>
      </c>
      <c r="H149" s="32">
        <v>4.7270003999999997E-2</v>
      </c>
      <c r="I149" s="31">
        <v>40.103999999999999</v>
      </c>
      <c r="J149" s="32">
        <v>7.5209999999999999E-2</v>
      </c>
      <c r="K149" s="31" t="s">
        <v>393</v>
      </c>
      <c r="L149" s="31">
        <v>2.6949999999999998</v>
      </c>
      <c r="M149" s="31">
        <v>13.141999999999999</v>
      </c>
      <c r="N149" s="31">
        <v>2.6043878</v>
      </c>
      <c r="P149" s="31">
        <v>18.848683999999999</v>
      </c>
      <c r="Q149" s="31">
        <v>50596614144</v>
      </c>
    </row>
    <row r="150" spans="1:17" x14ac:dyDescent="0.3">
      <c r="A150" s="1">
        <v>162</v>
      </c>
      <c r="B150" s="6" t="s">
        <v>394</v>
      </c>
      <c r="C150" s="6" t="s">
        <v>62</v>
      </c>
      <c r="D150" s="32">
        <v>1.14E-2</v>
      </c>
      <c r="E150" s="32">
        <v>0.152</v>
      </c>
      <c r="F150" s="31">
        <v>85.59</v>
      </c>
      <c r="G150" s="31">
        <v>1.1060000000000001</v>
      </c>
      <c r="H150" s="32">
        <v>3.1280000000000002E-2</v>
      </c>
      <c r="I150" s="31">
        <v>83.861000000000004</v>
      </c>
      <c r="J150" s="32">
        <v>5.0430004E-2</v>
      </c>
      <c r="K150" s="31" t="s">
        <v>395</v>
      </c>
      <c r="L150" s="31">
        <v>0.48099999999999998</v>
      </c>
      <c r="M150" s="31">
        <v>11.032</v>
      </c>
      <c r="N150" s="31">
        <v>1.8870294999999999</v>
      </c>
      <c r="O150" s="31">
        <v>1.47</v>
      </c>
      <c r="P150" s="31">
        <v>15.704587</v>
      </c>
      <c r="Q150" s="31">
        <v>49942016000</v>
      </c>
    </row>
    <row r="151" spans="1:17" x14ac:dyDescent="0.3">
      <c r="A151" s="1">
        <v>163</v>
      </c>
      <c r="B151" s="6" t="s">
        <v>396</v>
      </c>
      <c r="C151" s="6" t="s">
        <v>223</v>
      </c>
      <c r="D151" s="32">
        <v>0.19949</v>
      </c>
      <c r="E151" s="32">
        <v>0.13200000000000001</v>
      </c>
      <c r="F151" s="31">
        <v>465.86</v>
      </c>
      <c r="G151" s="31">
        <v>0.77600000000000002</v>
      </c>
      <c r="H151" s="32">
        <v>4.1360002E-2</v>
      </c>
      <c r="I151" s="31">
        <v>70.513999999999996</v>
      </c>
      <c r="J151" s="32">
        <v>8.9149999999999993E-2</v>
      </c>
      <c r="K151" s="31" t="s">
        <v>397</v>
      </c>
      <c r="L151" s="31">
        <v>9.4870000000000001</v>
      </c>
      <c r="M151" s="31">
        <v>24.76</v>
      </c>
      <c r="N151" s="31">
        <v>4.3325734000000002</v>
      </c>
      <c r="O151" s="31">
        <v>2.79</v>
      </c>
      <c r="P151" s="31">
        <v>30.528176999999999</v>
      </c>
      <c r="Q151" s="31">
        <v>49141239808</v>
      </c>
    </row>
    <row r="152" spans="1:17" x14ac:dyDescent="0.3">
      <c r="A152" s="1">
        <v>164</v>
      </c>
      <c r="B152" s="6" t="s">
        <v>398</v>
      </c>
      <c r="C152" s="6" t="s">
        <v>155</v>
      </c>
      <c r="D152" s="32">
        <v>0.14593</v>
      </c>
      <c r="E152" s="32">
        <v>0.13700000000000001</v>
      </c>
      <c r="F152" s="31">
        <v>96.84</v>
      </c>
      <c r="G152" s="31">
        <v>0.58099999999999996</v>
      </c>
      <c r="H152" s="32">
        <v>2.5880001E-2</v>
      </c>
      <c r="I152" s="31">
        <v>168.28899999999999</v>
      </c>
      <c r="J152" s="32">
        <v>0.11047999999999999</v>
      </c>
      <c r="K152" s="31" t="s">
        <v>399</v>
      </c>
      <c r="L152" s="31">
        <v>4.9059999999999997</v>
      </c>
      <c r="M152" s="31">
        <v>13.154999999999999</v>
      </c>
      <c r="N152" s="31">
        <v>2.1889691</v>
      </c>
      <c r="O152" s="31">
        <v>3.44</v>
      </c>
      <c r="P152" s="31">
        <v>19.484909999999999</v>
      </c>
      <c r="Q152" s="31">
        <v>48070406144</v>
      </c>
    </row>
    <row r="153" spans="1:17" x14ac:dyDescent="0.3">
      <c r="A153" s="1">
        <v>165</v>
      </c>
      <c r="B153" s="6" t="s">
        <v>400</v>
      </c>
      <c r="C153" s="6" t="s">
        <v>113</v>
      </c>
      <c r="D153" s="32">
        <v>0.11547</v>
      </c>
      <c r="E153" s="32">
        <v>0.14199999999999999</v>
      </c>
      <c r="F153" s="31">
        <v>91.51</v>
      </c>
      <c r="G153" s="31">
        <v>2.08</v>
      </c>
      <c r="H153" s="32">
        <v>0.1009</v>
      </c>
      <c r="I153" s="31">
        <v>13.802</v>
      </c>
      <c r="J153" s="32">
        <v>0.18722999000000001</v>
      </c>
      <c r="K153" s="31" t="s">
        <v>401</v>
      </c>
      <c r="L153" s="31">
        <v>2.3820000000000001</v>
      </c>
      <c r="M153" s="31">
        <v>13.167999999999999</v>
      </c>
      <c r="N153" s="31">
        <v>4.1610583999999999</v>
      </c>
      <c r="O153" s="31">
        <v>1.61</v>
      </c>
      <c r="P153" s="31">
        <v>20.245574999999999</v>
      </c>
      <c r="Q153" s="31">
        <v>48622833664</v>
      </c>
    </row>
    <row r="154" spans="1:17" x14ac:dyDescent="0.3">
      <c r="A154" s="1">
        <v>166</v>
      </c>
      <c r="B154" s="6" t="s">
        <v>403</v>
      </c>
      <c r="C154" s="6" t="s">
        <v>402</v>
      </c>
      <c r="D154" s="32">
        <v>8.7580000000000005E-2</v>
      </c>
      <c r="E154" s="32">
        <v>-1.7999999999999999E-2</v>
      </c>
      <c r="F154" s="31">
        <v>39.29</v>
      </c>
      <c r="G154" s="31">
        <v>1.1299999999999999</v>
      </c>
      <c r="H154" s="32">
        <v>3.7409999999999999E-2</v>
      </c>
      <c r="I154" s="31">
        <v>47.921999999999997</v>
      </c>
      <c r="J154" s="32">
        <v>4.6460000000000001E-2</v>
      </c>
      <c r="K154" s="31" t="s">
        <v>404</v>
      </c>
      <c r="L154" s="31">
        <v>2.5569999999999999</v>
      </c>
      <c r="M154" s="31">
        <v>10.025</v>
      </c>
      <c r="N154" s="31">
        <v>0.96247125</v>
      </c>
      <c r="O154" s="31">
        <v>-5.44</v>
      </c>
      <c r="P154" s="31">
        <v>14.882576</v>
      </c>
      <c r="Q154" s="31">
        <v>48092528640</v>
      </c>
    </row>
    <row r="155" spans="1:17" x14ac:dyDescent="0.3">
      <c r="A155" s="1">
        <v>167</v>
      </c>
      <c r="B155" s="6" t="s">
        <v>406</v>
      </c>
      <c r="C155" s="6" t="s">
        <v>405</v>
      </c>
      <c r="D155" s="32">
        <v>0.11324999500000001</v>
      </c>
      <c r="E155" s="32">
        <v>0.52800000000000002</v>
      </c>
      <c r="F155" s="31">
        <v>64.7</v>
      </c>
      <c r="G155" s="31">
        <v>1.5940000000000001</v>
      </c>
      <c r="H155" s="32">
        <v>7.3959999999999998E-2</v>
      </c>
      <c r="I155" s="31">
        <v>97.456999999999994</v>
      </c>
      <c r="J155" s="32">
        <v>0.39372003</v>
      </c>
      <c r="K155" s="31" t="s">
        <v>407</v>
      </c>
      <c r="L155" s="31">
        <v>1.143</v>
      </c>
      <c r="M155" s="31">
        <v>5.8529999999999998</v>
      </c>
      <c r="N155" s="31">
        <v>2.9110049999999998</v>
      </c>
      <c r="O155" s="31">
        <v>0.12</v>
      </c>
      <c r="P155" s="31">
        <v>10.141066</v>
      </c>
      <c r="Q155" s="31">
        <v>47853023232</v>
      </c>
    </row>
    <row r="156" spans="1:17" x14ac:dyDescent="0.3">
      <c r="A156" s="1">
        <v>168</v>
      </c>
      <c r="B156" s="6" t="s">
        <v>409</v>
      </c>
      <c r="C156" s="6" t="s">
        <v>408</v>
      </c>
      <c r="D156" s="32">
        <v>0.15847</v>
      </c>
      <c r="E156" s="32">
        <v>8.5000000000000006E-2</v>
      </c>
      <c r="F156" s="31">
        <v>703.36</v>
      </c>
      <c r="G156" s="31">
        <v>0.76200000000000001</v>
      </c>
      <c r="H156" s="32">
        <v>0.14299000000000001</v>
      </c>
      <c r="I156" s="31">
        <v>0</v>
      </c>
      <c r="J156" s="32">
        <v>7.1736700000000004</v>
      </c>
      <c r="K156" s="31" t="s">
        <v>410</v>
      </c>
      <c r="L156" s="31">
        <v>4.0999999999999996</v>
      </c>
      <c r="M156" s="31">
        <v>17.015999999999998</v>
      </c>
      <c r="O156" s="31">
        <v>1.93</v>
      </c>
      <c r="P156" s="31">
        <v>22.880935999999998</v>
      </c>
      <c r="Q156" s="31">
        <v>47391268864</v>
      </c>
    </row>
    <row r="157" spans="1:17" x14ac:dyDescent="0.3">
      <c r="A157" s="1">
        <v>169</v>
      </c>
      <c r="B157" s="6" t="s">
        <v>411</v>
      </c>
      <c r="C157" s="6" t="s">
        <v>119</v>
      </c>
      <c r="D157" s="32">
        <v>0.31304999999999999</v>
      </c>
      <c r="E157" s="32">
        <v>0.182</v>
      </c>
      <c r="F157" s="31">
        <v>212.14</v>
      </c>
      <c r="G157" s="31">
        <v>0.80900000000000005</v>
      </c>
      <c r="H157" s="32">
        <v>5.9569999999999998E-2</v>
      </c>
      <c r="I157" s="31">
        <v>238.261</v>
      </c>
      <c r="J157" s="32">
        <v>1.9555298999999999</v>
      </c>
      <c r="K157" s="31" t="s">
        <v>412</v>
      </c>
      <c r="L157" s="31">
        <v>14.82</v>
      </c>
      <c r="M157" s="31">
        <v>79.587000000000003</v>
      </c>
      <c r="N157" s="31">
        <v>36.500346999999998</v>
      </c>
      <c r="O157" s="31">
        <v>1.92</v>
      </c>
      <c r="P157" s="31">
        <v>31.060030000000001</v>
      </c>
      <c r="Q157" s="31">
        <v>46665068544</v>
      </c>
    </row>
    <row r="158" spans="1:17" x14ac:dyDescent="0.3">
      <c r="A158" s="1">
        <v>170</v>
      </c>
      <c r="B158" s="6" t="s">
        <v>414</v>
      </c>
      <c r="C158" s="6" t="s">
        <v>413</v>
      </c>
      <c r="D158" s="32">
        <v>6.9169999999999995E-2</v>
      </c>
      <c r="E158" s="32">
        <v>7.3999999999999996E-2</v>
      </c>
      <c r="F158" s="31">
        <v>66.239999999999995</v>
      </c>
      <c r="G158" s="31">
        <v>1.099</v>
      </c>
      <c r="H158" s="32">
        <v>5.0250000000000003E-2</v>
      </c>
      <c r="I158" s="31">
        <v>48.6</v>
      </c>
      <c r="J158" s="32">
        <v>9.3649999999999997E-2</v>
      </c>
      <c r="K158" s="31" t="s">
        <v>415</v>
      </c>
      <c r="L158" s="31">
        <v>2.77</v>
      </c>
      <c r="M158" s="31">
        <v>15.721</v>
      </c>
      <c r="N158" s="31">
        <v>2.6732314000000001</v>
      </c>
      <c r="O158" s="31">
        <v>1.4</v>
      </c>
      <c r="P158" s="31">
        <v>18.925713999999999</v>
      </c>
      <c r="Q158" s="31">
        <v>46654951424</v>
      </c>
    </row>
    <row r="159" spans="1:17" x14ac:dyDescent="0.3">
      <c r="A159" s="1">
        <v>171</v>
      </c>
      <c r="B159" s="6" t="s">
        <v>416</v>
      </c>
      <c r="C159" s="6" t="s">
        <v>242</v>
      </c>
      <c r="D159" s="32">
        <v>0.29526999999999998</v>
      </c>
      <c r="E159" s="32">
        <v>0.127</v>
      </c>
      <c r="F159" s="31">
        <v>128.71</v>
      </c>
      <c r="G159" s="31">
        <v>1.27</v>
      </c>
      <c r="H159" s="32">
        <v>0.11481</v>
      </c>
      <c r="I159" s="31">
        <v>28.626999999999999</v>
      </c>
      <c r="J159" s="32">
        <v>0.42571998</v>
      </c>
      <c r="K159" s="31" t="s">
        <v>417</v>
      </c>
      <c r="L159" s="31">
        <v>11.153</v>
      </c>
      <c r="M159" s="31">
        <v>25.847999999999999</v>
      </c>
      <c r="N159" s="31">
        <v>14.884931999999999</v>
      </c>
      <c r="O159" s="31">
        <v>3.01</v>
      </c>
      <c r="P159" s="31">
        <v>33.258400000000002</v>
      </c>
      <c r="Q159" s="31">
        <v>46433034240</v>
      </c>
    </row>
    <row r="160" spans="1:17" x14ac:dyDescent="0.3">
      <c r="A160" s="1">
        <v>172</v>
      </c>
      <c r="B160" s="6" t="s">
        <v>419</v>
      </c>
      <c r="C160" s="6" t="s">
        <v>418</v>
      </c>
      <c r="D160" s="32">
        <v>5.4900004000000002E-3</v>
      </c>
      <c r="E160" s="32">
        <v>9.6000000000000002E-2</v>
      </c>
      <c r="F160" s="31">
        <v>310.48</v>
      </c>
      <c r="G160" s="31">
        <v>0.98</v>
      </c>
      <c r="H160" s="32">
        <v>2.6859999999999998E-2</v>
      </c>
      <c r="I160" s="31">
        <v>0</v>
      </c>
      <c r="J160" s="32">
        <v>14.01754</v>
      </c>
      <c r="K160" s="31" t="s">
        <v>420</v>
      </c>
      <c r="L160" s="31">
        <v>0.185</v>
      </c>
      <c r="M160" s="31">
        <v>13.516999999999999</v>
      </c>
      <c r="O160" s="31">
        <v>0.93</v>
      </c>
      <c r="P160" s="31">
        <v>14.093508999999999</v>
      </c>
      <c r="Q160" s="31">
        <v>47404707840</v>
      </c>
    </row>
    <row r="161" spans="1:17" x14ac:dyDescent="0.3">
      <c r="A161" s="1">
        <v>173</v>
      </c>
      <c r="B161" s="6" t="s">
        <v>421</v>
      </c>
      <c r="C161" s="6" t="s">
        <v>108</v>
      </c>
      <c r="D161" s="32">
        <v>0.23165000999999999</v>
      </c>
      <c r="E161" s="32">
        <v>0.111</v>
      </c>
      <c r="F161" s="31">
        <v>538.92999999999995</v>
      </c>
      <c r="G161" s="31">
        <v>1.252</v>
      </c>
      <c r="H161" s="32">
        <v>0.24621999999999999</v>
      </c>
      <c r="I161" s="31">
        <v>149.42500000000001</v>
      </c>
      <c r="J161" s="32">
        <v>1.1261699000000001</v>
      </c>
      <c r="K161" s="31" t="s">
        <v>422</v>
      </c>
      <c r="L161" s="31">
        <v>13.83</v>
      </c>
      <c r="M161" s="31">
        <v>42.896000000000001</v>
      </c>
      <c r="N161" s="31">
        <v>60.608409999999999</v>
      </c>
      <c r="O161" s="31">
        <v>3.16</v>
      </c>
      <c r="P161" s="31">
        <v>57.272053</v>
      </c>
      <c r="Q161" s="31">
        <v>45697814528</v>
      </c>
    </row>
    <row r="162" spans="1:17" x14ac:dyDescent="0.3">
      <c r="A162" s="1">
        <v>174</v>
      </c>
      <c r="B162" s="6" t="s">
        <v>423</v>
      </c>
      <c r="C162" s="6" t="s">
        <v>126</v>
      </c>
      <c r="D162" s="32">
        <v>0.22822999999999999</v>
      </c>
      <c r="E162" s="32">
        <v>0.29799999999999999</v>
      </c>
      <c r="F162" s="31">
        <v>480.97</v>
      </c>
      <c r="G162" s="31">
        <v>4.9749999999999996</v>
      </c>
      <c r="H162" s="32">
        <v>5.3609999999999998E-2</v>
      </c>
      <c r="I162" s="31">
        <v>88.174999999999997</v>
      </c>
      <c r="J162" s="32">
        <v>0.29119</v>
      </c>
      <c r="K162" s="31" t="s">
        <v>424</v>
      </c>
      <c r="L162" s="31">
        <v>21.056999999999999</v>
      </c>
      <c r="M162" s="31">
        <v>109.22799999999999</v>
      </c>
      <c r="N162" s="31">
        <v>21.818633999999999</v>
      </c>
      <c r="O162" s="31">
        <v>9.92</v>
      </c>
      <c r="P162" s="31">
        <v>132.86464000000001</v>
      </c>
      <c r="Q162" s="31">
        <v>46616576000</v>
      </c>
    </row>
    <row r="163" spans="1:17" x14ac:dyDescent="0.3">
      <c r="A163" s="1">
        <v>175</v>
      </c>
      <c r="B163" s="6" t="s">
        <v>426</v>
      </c>
      <c r="C163" s="6" t="s">
        <v>425</v>
      </c>
      <c r="D163" s="32">
        <v>8.0850000000000005E-2</v>
      </c>
      <c r="E163" s="32">
        <v>0.96699999999999997</v>
      </c>
      <c r="F163" s="31">
        <v>82.23</v>
      </c>
      <c r="H163" s="32"/>
      <c r="I163" s="31">
        <v>79.974000000000004</v>
      </c>
      <c r="J163" s="32">
        <v>7.7149999999999996E-2</v>
      </c>
      <c r="K163" s="31" t="s">
        <v>427</v>
      </c>
      <c r="L163" s="31">
        <v>0.55100000000000005</v>
      </c>
      <c r="M163" s="31">
        <v>9.1839999999999993</v>
      </c>
      <c r="N163" s="31">
        <v>1.8086043999999999</v>
      </c>
      <c r="O163" s="31">
        <v>0.89</v>
      </c>
      <c r="P163" s="31">
        <v>19.485785</v>
      </c>
      <c r="Q163" s="31">
        <v>50619801600</v>
      </c>
    </row>
    <row r="164" spans="1:17" x14ac:dyDescent="0.3">
      <c r="A164" s="1">
        <v>176</v>
      </c>
      <c r="B164" s="6" t="s">
        <v>429</v>
      </c>
      <c r="C164" s="6" t="s">
        <v>428</v>
      </c>
      <c r="D164" s="32">
        <v>0.14626001</v>
      </c>
      <c r="E164" s="32">
        <v>0.248</v>
      </c>
      <c r="F164" s="31">
        <v>75.67</v>
      </c>
      <c r="G164" s="31">
        <v>2.4350000000000001</v>
      </c>
      <c r="H164" s="32">
        <v>0.10037</v>
      </c>
      <c r="I164" s="31">
        <v>79.179000000000002</v>
      </c>
      <c r="J164" s="32">
        <v>0.26711000000000001</v>
      </c>
      <c r="K164" s="31" t="s">
        <v>430</v>
      </c>
      <c r="L164" s="31">
        <v>4.5430000000000001</v>
      </c>
      <c r="M164" s="31">
        <v>19.271000000000001</v>
      </c>
      <c r="N164" s="31">
        <v>7.6050253000000003</v>
      </c>
      <c r="O164" s="31">
        <v>2.5</v>
      </c>
      <c r="P164" s="31">
        <v>28.340821999999999</v>
      </c>
      <c r="Q164" s="31">
        <v>45252780032</v>
      </c>
    </row>
    <row r="165" spans="1:17" x14ac:dyDescent="0.3">
      <c r="A165" s="1">
        <v>177</v>
      </c>
      <c r="B165" s="6" t="s">
        <v>431</v>
      </c>
      <c r="C165" s="6" t="s">
        <v>119</v>
      </c>
      <c r="D165" s="32">
        <v>0.23297001000000001</v>
      </c>
      <c r="E165" s="32">
        <v>0.126</v>
      </c>
      <c r="F165" s="31">
        <v>158.84</v>
      </c>
      <c r="G165" s="31">
        <v>1.7010000000000001</v>
      </c>
      <c r="H165" s="32">
        <v>0.1164</v>
      </c>
      <c r="I165" s="31">
        <v>13.202</v>
      </c>
      <c r="J165" s="32">
        <v>0.27576000000000001</v>
      </c>
      <c r="K165" s="31" t="s">
        <v>432</v>
      </c>
      <c r="L165" s="31">
        <v>16.385000000000002</v>
      </c>
      <c r="M165" s="31">
        <v>52.783000000000001</v>
      </c>
      <c r="N165" s="31">
        <v>16.730566</v>
      </c>
      <c r="O165" s="31">
        <v>3.28</v>
      </c>
      <c r="P165" s="31">
        <v>44.617977000000003</v>
      </c>
      <c r="Q165" s="31">
        <v>44021075968</v>
      </c>
    </row>
    <row r="166" spans="1:17" x14ac:dyDescent="0.3">
      <c r="A166" s="1">
        <v>178</v>
      </c>
      <c r="B166" s="6" t="s">
        <v>433</v>
      </c>
      <c r="C166" s="6" t="s">
        <v>357</v>
      </c>
      <c r="D166" s="32">
        <v>0.12445000000000001</v>
      </c>
      <c r="E166" s="32">
        <v>-0.11</v>
      </c>
      <c r="F166" s="31">
        <v>120.86</v>
      </c>
      <c r="G166" s="31">
        <v>1.2649999999999999</v>
      </c>
      <c r="H166" s="32">
        <v>7.3600000000000002E-3</v>
      </c>
      <c r="I166" s="31">
        <v>54.392000000000003</v>
      </c>
      <c r="J166" s="32">
        <v>0.118090004</v>
      </c>
      <c r="K166" s="31" t="s">
        <v>434</v>
      </c>
      <c r="L166" s="31">
        <v>0.82</v>
      </c>
      <c r="M166" s="31">
        <v>4.5549999999999997</v>
      </c>
      <c r="N166" s="31">
        <v>0.74004227</v>
      </c>
      <c r="O166" s="31">
        <v>0.95</v>
      </c>
      <c r="P166" s="31">
        <v>9.5920629999999996</v>
      </c>
      <c r="Q166" s="31">
        <v>45685080064</v>
      </c>
    </row>
    <row r="167" spans="1:17" x14ac:dyDescent="0.3">
      <c r="A167" s="1">
        <v>179</v>
      </c>
      <c r="B167" s="6" t="s">
        <v>435</v>
      </c>
      <c r="C167" s="6" t="s">
        <v>245</v>
      </c>
      <c r="D167" s="32">
        <v>0.10640000600000001</v>
      </c>
      <c r="E167" s="32">
        <v>6.4000000000000001E-2</v>
      </c>
      <c r="F167" s="31">
        <v>187.75</v>
      </c>
      <c r="G167" s="31">
        <v>0.36099999999999999</v>
      </c>
      <c r="H167" s="32">
        <v>2.5090002E-2</v>
      </c>
      <c r="I167" s="31">
        <v>25.602</v>
      </c>
      <c r="J167" s="32">
        <v>0.12922</v>
      </c>
      <c r="K167" s="31" t="s">
        <v>436</v>
      </c>
      <c r="L167" s="31">
        <v>1.194</v>
      </c>
      <c r="M167" s="31">
        <v>7.2489999999999997</v>
      </c>
      <c r="N167" s="31">
        <v>1.6220583</v>
      </c>
      <c r="O167" s="31">
        <v>1.48</v>
      </c>
      <c r="P167" s="31">
        <v>14.960159000000001</v>
      </c>
      <c r="Q167" s="31">
        <v>46188187648</v>
      </c>
    </row>
    <row r="168" spans="1:17" x14ac:dyDescent="0.3">
      <c r="A168" s="1">
        <v>180</v>
      </c>
      <c r="B168" s="6" t="s">
        <v>437</v>
      </c>
      <c r="C168" s="6" t="s">
        <v>257</v>
      </c>
      <c r="D168" s="32">
        <v>0.16469</v>
      </c>
      <c r="E168" s="32">
        <v>6.4000000000000001E-2</v>
      </c>
      <c r="F168" s="31">
        <v>214.37</v>
      </c>
      <c r="G168" s="31">
        <v>0.90100000000000002</v>
      </c>
      <c r="H168" s="32">
        <v>0.13102000999999999</v>
      </c>
      <c r="I168" s="31">
        <v>194.98099999999999</v>
      </c>
      <c r="J168" s="32">
        <v>0.59370999999999996</v>
      </c>
      <c r="K168" s="31" t="s">
        <v>438</v>
      </c>
      <c r="L168" s="31">
        <v>5.444</v>
      </c>
      <c r="M168" s="31">
        <v>20.664000000000001</v>
      </c>
      <c r="N168" s="31">
        <v>17.465374000000001</v>
      </c>
      <c r="O168" s="31">
        <v>3.01</v>
      </c>
      <c r="P168" s="31">
        <v>28.506648999999999</v>
      </c>
      <c r="Q168" s="31">
        <v>44161077248</v>
      </c>
    </row>
    <row r="169" spans="1:17" x14ac:dyDescent="0.3">
      <c r="A169" s="1">
        <v>181</v>
      </c>
      <c r="B169" s="6" t="s">
        <v>439</v>
      </c>
      <c r="C169" s="6" t="s">
        <v>141</v>
      </c>
      <c r="D169" s="32">
        <v>8.652E-2</v>
      </c>
      <c r="E169" s="32">
        <v>0.22</v>
      </c>
      <c r="F169" s="31">
        <v>1556.37</v>
      </c>
      <c r="G169" s="31">
        <v>1.581</v>
      </c>
      <c r="H169" s="32">
        <v>8.2070000000000004E-2</v>
      </c>
      <c r="I169" s="31">
        <v>153.232</v>
      </c>
      <c r="J169" s="32">
        <v>0.30247997999999998</v>
      </c>
      <c r="K169" s="31" t="s">
        <v>440</v>
      </c>
      <c r="L169" s="31">
        <v>5.2409999999999997</v>
      </c>
      <c r="M169" s="31">
        <v>36.481999999999999</v>
      </c>
      <c r="N169" s="31">
        <v>18.962084000000001</v>
      </c>
      <c r="O169" s="31">
        <v>1.47</v>
      </c>
      <c r="P169" s="31">
        <v>46.96349</v>
      </c>
      <c r="Q169" s="31">
        <v>43789090816</v>
      </c>
    </row>
    <row r="170" spans="1:17" x14ac:dyDescent="0.3">
      <c r="A170" s="1">
        <v>182</v>
      </c>
      <c r="B170" s="6" t="s">
        <v>441</v>
      </c>
      <c r="C170" s="6" t="s">
        <v>381</v>
      </c>
      <c r="D170" s="32">
        <v>4.8060004000000003E-2</v>
      </c>
      <c r="E170" s="32">
        <v>6.0000000000000001E-3</v>
      </c>
      <c r="F170" s="31">
        <v>45.51</v>
      </c>
      <c r="G170" s="31">
        <v>0.94</v>
      </c>
      <c r="H170" s="32">
        <v>2.479E-2</v>
      </c>
      <c r="I170" s="31">
        <v>121.723</v>
      </c>
      <c r="J170" s="32">
        <v>5.4089999999999999E-2</v>
      </c>
      <c r="K170" s="31" t="s">
        <v>442</v>
      </c>
      <c r="L170" s="31">
        <v>2.2839999999999998</v>
      </c>
      <c r="M170" s="31">
        <v>7.7670000000000003</v>
      </c>
      <c r="N170" s="31">
        <v>1.3152798000000001</v>
      </c>
      <c r="O170" s="31">
        <v>-43.47</v>
      </c>
      <c r="P170" s="31">
        <v>13.707831000000001</v>
      </c>
      <c r="Q170" s="31">
        <v>44523249664</v>
      </c>
    </row>
    <row r="171" spans="1:17" x14ac:dyDescent="0.3">
      <c r="A171" s="1">
        <v>183</v>
      </c>
      <c r="B171" s="6" t="s">
        <v>443</v>
      </c>
      <c r="C171" s="6" t="s">
        <v>57</v>
      </c>
      <c r="D171" s="32">
        <v>0.14954000000000001</v>
      </c>
      <c r="E171" s="32">
        <v>0.3</v>
      </c>
      <c r="F171" s="31">
        <v>77.16</v>
      </c>
      <c r="G171" s="31">
        <v>1.806</v>
      </c>
      <c r="H171" s="32">
        <v>6.2090001999999998E-2</v>
      </c>
      <c r="I171" s="31">
        <v>136.19</v>
      </c>
      <c r="J171" s="32">
        <v>0.17362</v>
      </c>
      <c r="K171" s="31" t="s">
        <v>444</v>
      </c>
      <c r="L171" s="31">
        <v>7.3259999999999996</v>
      </c>
      <c r="M171" s="31">
        <v>17.114000000000001</v>
      </c>
      <c r="N171" s="31">
        <v>7.5072975</v>
      </c>
      <c r="O171" s="31">
        <v>1.08</v>
      </c>
      <c r="P171" s="31">
        <v>15.714869</v>
      </c>
      <c r="Q171" s="31">
        <v>42813845504</v>
      </c>
    </row>
    <row r="172" spans="1:17" x14ac:dyDescent="0.3">
      <c r="A172" s="1">
        <v>184</v>
      </c>
      <c r="B172" s="6" t="s">
        <v>445</v>
      </c>
      <c r="C172" s="6" t="s">
        <v>428</v>
      </c>
      <c r="D172" s="32">
        <v>0.16072</v>
      </c>
      <c r="E172" s="32">
        <v>8.4000000000000005E-2</v>
      </c>
      <c r="F172" s="31">
        <v>132.24</v>
      </c>
      <c r="G172" s="31">
        <v>1.6950000000000001</v>
      </c>
      <c r="H172" s="32">
        <v>8.3739995999999997E-2</v>
      </c>
      <c r="I172" s="31">
        <v>36.386000000000003</v>
      </c>
      <c r="J172" s="32">
        <v>0.23186999999999999</v>
      </c>
      <c r="K172" s="31" t="s">
        <v>446</v>
      </c>
      <c r="L172" s="31">
        <v>3.234</v>
      </c>
      <c r="M172" s="31">
        <v>13.778</v>
      </c>
      <c r="N172" s="31">
        <v>4.0669209999999998</v>
      </c>
      <c r="O172" s="31">
        <v>1.6</v>
      </c>
      <c r="P172" s="31">
        <v>16.718078999999999</v>
      </c>
      <c r="Q172" s="31">
        <v>43151630336</v>
      </c>
    </row>
    <row r="173" spans="1:17" x14ac:dyDescent="0.3">
      <c r="A173" s="1">
        <v>185</v>
      </c>
      <c r="B173" s="6" t="s">
        <v>448</v>
      </c>
      <c r="C173" s="6" t="s">
        <v>447</v>
      </c>
      <c r="D173" s="32">
        <v>0.28300999999999998</v>
      </c>
      <c r="E173" s="32">
        <v>0.23699999999999999</v>
      </c>
      <c r="F173" s="31">
        <v>138.4</v>
      </c>
      <c r="G173" s="31">
        <v>5.0640000000000001</v>
      </c>
      <c r="H173" s="32">
        <v>0.10855999600000001</v>
      </c>
      <c r="I173" s="31">
        <v>1.5940000000000001</v>
      </c>
      <c r="J173" s="32">
        <v>0.22579001000000001</v>
      </c>
      <c r="K173" s="31" t="s">
        <v>449</v>
      </c>
      <c r="L173" s="31">
        <v>14.170999999999999</v>
      </c>
      <c r="M173" s="31">
        <v>43.417999999999999</v>
      </c>
      <c r="N173" s="31">
        <v>11.012093999999999</v>
      </c>
      <c r="O173" s="31">
        <v>2.8</v>
      </c>
      <c r="P173" s="31">
        <v>40.232554999999998</v>
      </c>
      <c r="Q173" s="31">
        <v>42530316288</v>
      </c>
    </row>
    <row r="174" spans="1:17" x14ac:dyDescent="0.3">
      <c r="A174" s="1">
        <v>186</v>
      </c>
      <c r="B174" s="6" t="s">
        <v>450</v>
      </c>
      <c r="C174" s="6" t="s">
        <v>108</v>
      </c>
      <c r="D174" s="32">
        <v>5.6660000000000002E-2</v>
      </c>
      <c r="E174" s="32">
        <v>0.217</v>
      </c>
      <c r="F174" s="31">
        <v>224.76</v>
      </c>
      <c r="G174" s="31">
        <v>0.93500000000000005</v>
      </c>
      <c r="H174" s="32">
        <v>3.2980002000000001E-2</v>
      </c>
      <c r="I174" s="31">
        <v>215.011</v>
      </c>
      <c r="J174" s="32">
        <v>0.13120000000000001</v>
      </c>
      <c r="K174" s="31" t="s">
        <v>451</v>
      </c>
      <c r="L174" s="31">
        <v>4.5940000000000003</v>
      </c>
      <c r="M174" s="31">
        <v>26.553999999999998</v>
      </c>
      <c r="N174" s="31">
        <v>7.3686967000000001</v>
      </c>
      <c r="O174" s="31">
        <v>1.36</v>
      </c>
      <c r="P174" s="31">
        <v>22.143843</v>
      </c>
      <c r="Q174" s="31">
        <v>42938150912</v>
      </c>
    </row>
    <row r="175" spans="1:17" x14ac:dyDescent="0.3">
      <c r="A175" s="1">
        <v>187</v>
      </c>
      <c r="B175" s="6" t="s">
        <v>453</v>
      </c>
      <c r="C175" s="6" t="s">
        <v>452</v>
      </c>
      <c r="D175" s="32">
        <v>0.41</v>
      </c>
      <c r="E175" s="32">
        <v>0.222</v>
      </c>
      <c r="F175" s="31">
        <v>130.16999999999999</v>
      </c>
      <c r="G175" s="31">
        <v>0.39400000000000002</v>
      </c>
      <c r="H175" s="32">
        <v>4.3499999999999997E-2</v>
      </c>
      <c r="I175" s="31">
        <v>589.32000000000005</v>
      </c>
      <c r="J175" s="32">
        <v>0.69601995000000005</v>
      </c>
      <c r="K175" s="31" t="s">
        <v>454</v>
      </c>
      <c r="L175" s="31">
        <v>16.317</v>
      </c>
      <c r="M175" s="31">
        <v>22.593</v>
      </c>
      <c r="N175" s="31">
        <v>12.822103500000001</v>
      </c>
      <c r="O175" s="31">
        <v>2.94</v>
      </c>
      <c r="P175" s="31">
        <v>21.374383999999999</v>
      </c>
      <c r="Q175" s="31">
        <v>42776334336</v>
      </c>
    </row>
    <row r="176" spans="1:17" x14ac:dyDescent="0.3">
      <c r="A176" s="1">
        <v>188</v>
      </c>
      <c r="B176" s="6" t="s">
        <v>456</v>
      </c>
      <c r="C176" s="6" t="s">
        <v>455</v>
      </c>
      <c r="D176" s="32">
        <v>0.155</v>
      </c>
      <c r="E176" s="32">
        <v>9.4E-2</v>
      </c>
      <c r="F176" s="31">
        <v>413.32</v>
      </c>
      <c r="G176" s="31">
        <v>1.2190000000000001</v>
      </c>
      <c r="H176" s="32">
        <v>0.111049995</v>
      </c>
      <c r="I176" s="31">
        <v>73.584999999999994</v>
      </c>
      <c r="J176" s="32">
        <v>0.32173002000000001</v>
      </c>
      <c r="K176" s="31" t="s">
        <v>457</v>
      </c>
      <c r="L176" s="31">
        <v>5.9589999999999996</v>
      </c>
      <c r="M176" s="31">
        <v>25.308</v>
      </c>
      <c r="N176" s="31">
        <v>12.024903</v>
      </c>
      <c r="O176" s="31">
        <v>3.32</v>
      </c>
      <c r="P176" s="31">
        <v>34.500835000000002</v>
      </c>
      <c r="Q176" s="31">
        <v>42846404608</v>
      </c>
    </row>
    <row r="177" spans="1:17" x14ac:dyDescent="0.3">
      <c r="A177" s="1">
        <v>189</v>
      </c>
      <c r="B177" s="6" t="s">
        <v>459</v>
      </c>
      <c r="C177" s="6" t="s">
        <v>458</v>
      </c>
      <c r="D177" s="32">
        <v>0.10668000599999999</v>
      </c>
      <c r="E177" s="32">
        <v>0.27300000000000002</v>
      </c>
      <c r="F177" s="31">
        <v>59.79</v>
      </c>
      <c r="G177" s="31">
        <v>1.8120000000000001</v>
      </c>
      <c r="H177" s="32">
        <v>1.3890001000000001E-2</v>
      </c>
      <c r="I177" s="31">
        <v>9.9</v>
      </c>
      <c r="J177" s="32">
        <v>7.1609995999999995E-2</v>
      </c>
      <c r="K177" s="31" t="s">
        <v>460</v>
      </c>
      <c r="L177" s="31">
        <v>2.238</v>
      </c>
      <c r="M177" s="31">
        <v>15.974</v>
      </c>
      <c r="N177" s="31">
        <v>1.7648623000000001</v>
      </c>
      <c r="O177" s="31">
        <v>0.9</v>
      </c>
      <c r="P177" s="31">
        <v>23.084944</v>
      </c>
      <c r="Q177" s="31">
        <v>43581468672</v>
      </c>
    </row>
    <row r="178" spans="1:17" x14ac:dyDescent="0.3">
      <c r="A178" s="1">
        <v>190</v>
      </c>
      <c r="B178" s="6" t="s">
        <v>462</v>
      </c>
      <c r="C178" s="6" t="s">
        <v>461</v>
      </c>
      <c r="D178" s="32">
        <v>-6.1000003000000001E-3</v>
      </c>
      <c r="E178" s="32">
        <v>-4.8000000000000001E-2</v>
      </c>
      <c r="F178" s="31">
        <v>229.41</v>
      </c>
      <c r="G178" s="31">
        <v>1.502</v>
      </c>
      <c r="H178" s="32">
        <v>6.8760000000000002E-2</v>
      </c>
      <c r="I178" s="31">
        <v>90.09</v>
      </c>
      <c r="J178" s="32">
        <v>-1.1100000999999999E-3</v>
      </c>
      <c r="K178" s="31" t="s">
        <v>463</v>
      </c>
      <c r="L178" s="31">
        <v>5.8</v>
      </c>
      <c r="M178" s="31">
        <v>15.462999999999999</v>
      </c>
      <c r="N178" s="31">
        <v>3.8509057000000002</v>
      </c>
      <c r="O178" s="31">
        <v>2.73</v>
      </c>
      <c r="P178" s="31">
        <v>19.343171999999999</v>
      </c>
      <c r="Q178" s="31">
        <v>43014148096</v>
      </c>
    </row>
    <row r="179" spans="1:17" x14ac:dyDescent="0.3">
      <c r="A179" s="1">
        <v>191</v>
      </c>
      <c r="B179" s="6" t="s">
        <v>464</v>
      </c>
      <c r="C179" s="6" t="s">
        <v>360</v>
      </c>
      <c r="D179" s="32">
        <v>1.899E-2</v>
      </c>
      <c r="E179" s="32">
        <v>0.93</v>
      </c>
      <c r="F179" s="31">
        <v>151.5</v>
      </c>
      <c r="G179" s="31">
        <v>1.0269999999999999</v>
      </c>
      <c r="H179" s="32">
        <v>3.0009999999999998E-2</v>
      </c>
      <c r="I179" s="31">
        <v>0</v>
      </c>
      <c r="J179" s="32"/>
      <c r="K179" s="31" t="s">
        <v>465</v>
      </c>
      <c r="L179" s="31">
        <v>25.274000000000001</v>
      </c>
      <c r="M179" s="31">
        <v>52.758000000000003</v>
      </c>
      <c r="O179" s="31">
        <v>0.25</v>
      </c>
      <c r="P179" s="31">
        <v>35.232554999999998</v>
      </c>
      <c r="Q179" s="31">
        <v>42226380800</v>
      </c>
    </row>
    <row r="180" spans="1:17" x14ac:dyDescent="0.3">
      <c r="A180" s="1">
        <v>193</v>
      </c>
      <c r="B180" s="6" t="s">
        <v>467</v>
      </c>
      <c r="C180" s="6" t="s">
        <v>466</v>
      </c>
      <c r="D180" s="32">
        <v>9.6860000000000002E-2</v>
      </c>
      <c r="E180" s="32">
        <v>0.19600000000000001</v>
      </c>
      <c r="F180" s="31">
        <v>96.22</v>
      </c>
      <c r="G180" s="31">
        <v>1.694</v>
      </c>
      <c r="H180" s="32">
        <v>1.3569999500000001E-2</v>
      </c>
      <c r="I180" s="31">
        <v>78.370999999999995</v>
      </c>
      <c r="J180" s="32">
        <v>2.614E-2</v>
      </c>
      <c r="K180" s="31" t="s">
        <v>468</v>
      </c>
      <c r="L180" s="31">
        <v>11.77</v>
      </c>
      <c r="M180" s="31">
        <v>31.036999999999999</v>
      </c>
      <c r="N180" s="31">
        <v>2.4836094000000002</v>
      </c>
      <c r="O180" s="31">
        <v>8.58</v>
      </c>
      <c r="P180" s="31">
        <v>95.267330000000001</v>
      </c>
      <c r="Q180" s="31">
        <v>41882161152</v>
      </c>
    </row>
    <row r="181" spans="1:17" x14ac:dyDescent="0.3">
      <c r="A181" s="1">
        <v>194</v>
      </c>
      <c r="B181" s="6" t="s">
        <v>469</v>
      </c>
      <c r="C181" s="6" t="s">
        <v>357</v>
      </c>
      <c r="D181" s="32">
        <v>0.18766000999999999</v>
      </c>
      <c r="E181" s="32">
        <v>-7.5999999999999998E-2</v>
      </c>
      <c r="F181" s="31">
        <v>65.53</v>
      </c>
      <c r="G181" s="31">
        <v>0.68400000000000005</v>
      </c>
      <c r="H181" s="32">
        <v>2.1569999999999999E-2</v>
      </c>
      <c r="I181" s="31">
        <v>32.579000000000001</v>
      </c>
      <c r="J181" s="32">
        <v>0.12836</v>
      </c>
      <c r="K181" s="31" t="s">
        <v>470</v>
      </c>
      <c r="L181" s="31">
        <v>1.891</v>
      </c>
      <c r="M181" s="31">
        <v>7.6390000000000002</v>
      </c>
      <c r="N181" s="31">
        <v>1.2945476</v>
      </c>
      <c r="O181" s="31">
        <v>2.62</v>
      </c>
      <c r="P181" s="31">
        <v>12.434535</v>
      </c>
      <c r="Q181" s="31">
        <v>43349929984</v>
      </c>
    </row>
    <row r="182" spans="1:17" x14ac:dyDescent="0.3">
      <c r="A182" s="1">
        <v>195</v>
      </c>
      <c r="B182" s="6" t="s">
        <v>472</v>
      </c>
      <c r="C182" s="6" t="s">
        <v>471</v>
      </c>
      <c r="D182" s="32">
        <v>1.2930000000000001E-2</v>
      </c>
      <c r="E182" s="32">
        <v>0.41199999999999998</v>
      </c>
      <c r="F182" s="31">
        <v>80.91</v>
      </c>
      <c r="G182" s="31">
        <v>1.325</v>
      </c>
      <c r="H182" s="32">
        <v>5.8349999999999999E-2</v>
      </c>
      <c r="I182" s="31">
        <v>944.60599999999999</v>
      </c>
      <c r="J182" s="32">
        <v>0.57828999999999997</v>
      </c>
      <c r="K182" s="31" t="s">
        <v>473</v>
      </c>
      <c r="L182" s="31">
        <v>0.82199999999999995</v>
      </c>
      <c r="M182" s="31">
        <v>17.838000000000001</v>
      </c>
      <c r="N182" s="31">
        <v>24.773423999999999</v>
      </c>
      <c r="O182" s="31">
        <v>0.44</v>
      </c>
      <c r="P182" s="31">
        <v>19.218529</v>
      </c>
      <c r="Q182" s="31">
        <v>41479000064</v>
      </c>
    </row>
    <row r="183" spans="1:17" x14ac:dyDescent="0.3">
      <c r="A183" s="1">
        <v>196</v>
      </c>
      <c r="B183" s="6" t="s">
        <v>475</v>
      </c>
      <c r="C183" s="6" t="s">
        <v>474</v>
      </c>
      <c r="D183" s="32">
        <v>7.4699995999999999E-3</v>
      </c>
      <c r="E183" s="32">
        <v>7.1999999999999995E-2</v>
      </c>
      <c r="F183" s="31">
        <v>57</v>
      </c>
      <c r="G183" s="31">
        <v>0.79700000000000004</v>
      </c>
      <c r="H183" s="32">
        <v>3.3570003000000001E-2</v>
      </c>
      <c r="I183" s="31">
        <v>218.16499999999999</v>
      </c>
      <c r="J183" s="32">
        <v>0.10453</v>
      </c>
      <c r="K183" s="31" t="s">
        <v>476</v>
      </c>
      <c r="L183" s="31">
        <v>0.377</v>
      </c>
      <c r="M183" s="31">
        <v>9.2200000000000006</v>
      </c>
      <c r="N183" s="31">
        <v>4.4192900000000002</v>
      </c>
      <c r="O183" s="31">
        <v>2.02</v>
      </c>
      <c r="P183" s="31">
        <v>16.814160000000001</v>
      </c>
      <c r="Q183" s="31">
        <v>41909592064</v>
      </c>
    </row>
    <row r="184" spans="1:17" x14ac:dyDescent="0.3">
      <c r="A184" s="1">
        <v>197</v>
      </c>
      <c r="B184" s="6" t="s">
        <v>477</v>
      </c>
      <c r="C184" s="6" t="s">
        <v>93</v>
      </c>
      <c r="D184" s="32">
        <v>0.28760000000000002</v>
      </c>
      <c r="E184" s="32">
        <v>0.13200000000000001</v>
      </c>
      <c r="F184" s="31">
        <v>78.7</v>
      </c>
      <c r="G184" s="31">
        <v>4.702</v>
      </c>
      <c r="H184" s="32">
        <v>0.16991000000000001</v>
      </c>
      <c r="I184" s="31">
        <v>0.318</v>
      </c>
      <c r="J184" s="32">
        <v>0.28100999999999998</v>
      </c>
      <c r="K184" s="31" t="s">
        <v>478</v>
      </c>
      <c r="L184" s="31">
        <v>9.1859999999999999</v>
      </c>
      <c r="M184" s="31">
        <v>26.481000000000002</v>
      </c>
      <c r="N184" s="31">
        <v>6.668361</v>
      </c>
      <c r="O184" s="31">
        <v>2.66</v>
      </c>
      <c r="P184" s="31">
        <v>26.768705000000001</v>
      </c>
      <c r="Q184" s="31">
        <v>41643237376</v>
      </c>
    </row>
    <row r="185" spans="1:17" x14ac:dyDescent="0.3">
      <c r="A185" s="1">
        <v>198</v>
      </c>
      <c r="B185" s="6" t="s">
        <v>480</v>
      </c>
      <c r="C185" s="6" t="s">
        <v>479</v>
      </c>
      <c r="D185" s="32">
        <v>0.11464000000000001</v>
      </c>
      <c r="E185" s="32">
        <v>0.31</v>
      </c>
      <c r="F185" s="31">
        <v>19.07</v>
      </c>
      <c r="G185" s="31">
        <v>0.46100000000000002</v>
      </c>
      <c r="H185" s="32">
        <v>3.9600000000000003E-2</v>
      </c>
      <c r="I185" s="31">
        <v>103.76</v>
      </c>
      <c r="J185" s="32">
        <v>5.6539997000000002E-2</v>
      </c>
      <c r="K185" s="31" t="s">
        <v>481</v>
      </c>
      <c r="L185" s="31">
        <v>4.6609999999999996</v>
      </c>
      <c r="M185" s="31">
        <v>10.872</v>
      </c>
      <c r="N185" s="31">
        <v>1.4152133</v>
      </c>
      <c r="O185" s="31">
        <v>1.71</v>
      </c>
      <c r="P185" s="31">
        <v>18.514562999999999</v>
      </c>
      <c r="Q185" s="31">
        <v>43239886848</v>
      </c>
    </row>
    <row r="186" spans="1:17" x14ac:dyDescent="0.3">
      <c r="A186" s="1">
        <v>199</v>
      </c>
      <c r="B186" s="6" t="s">
        <v>483</v>
      </c>
      <c r="C186" s="6" t="s">
        <v>482</v>
      </c>
      <c r="D186" s="32">
        <v>0.15856999999999999</v>
      </c>
      <c r="E186" s="32">
        <v>1.093</v>
      </c>
      <c r="F186" s="31">
        <v>157.62</v>
      </c>
      <c r="G186" s="31">
        <v>2.5270000000000001</v>
      </c>
      <c r="H186" s="32">
        <v>0.19094999000000001</v>
      </c>
      <c r="I186" s="31">
        <v>41.688000000000002</v>
      </c>
      <c r="J186" s="32">
        <v>0.42226999999999998</v>
      </c>
      <c r="K186" s="31" t="s">
        <v>484</v>
      </c>
      <c r="L186" s="31">
        <v>1.204</v>
      </c>
      <c r="M186" s="31">
        <v>4.9189999999999996</v>
      </c>
      <c r="N186" s="31">
        <v>3.3561160000000001</v>
      </c>
      <c r="O186" s="31">
        <v>0.14000000000000001</v>
      </c>
      <c r="P186" s="31">
        <v>9.4270329999999998</v>
      </c>
      <c r="Q186" s="31">
        <v>45047640064</v>
      </c>
    </row>
    <row r="187" spans="1:17" x14ac:dyDescent="0.3">
      <c r="A187" s="1">
        <v>200</v>
      </c>
      <c r="B187" s="6" t="s">
        <v>485</v>
      </c>
      <c r="C187" s="6" t="s">
        <v>327</v>
      </c>
      <c r="D187" s="32">
        <v>0.114250004</v>
      </c>
      <c r="E187" s="32">
        <v>0.14799999999999999</v>
      </c>
      <c r="F187" s="31">
        <v>131.5</v>
      </c>
      <c r="G187" s="31">
        <v>0.70799999999999996</v>
      </c>
      <c r="H187" s="32">
        <v>5.4640002999999999E-2</v>
      </c>
      <c r="I187" s="31">
        <v>110.05200000000001</v>
      </c>
      <c r="J187" s="32">
        <v>0.14795999000000001</v>
      </c>
      <c r="K187" s="31" t="s">
        <v>486</v>
      </c>
      <c r="L187" s="31">
        <v>4.4569999999999999</v>
      </c>
      <c r="M187" s="31">
        <v>15.06</v>
      </c>
      <c r="N187" s="31">
        <v>4.7066827</v>
      </c>
      <c r="O187" s="31">
        <v>3.12</v>
      </c>
      <c r="P187" s="31">
        <v>28.401727999999999</v>
      </c>
      <c r="Q187" s="31">
        <v>41697992704</v>
      </c>
    </row>
    <row r="188" spans="1:17" x14ac:dyDescent="0.3">
      <c r="A188" s="1">
        <v>201</v>
      </c>
      <c r="B188" s="6" t="s">
        <v>487</v>
      </c>
      <c r="C188" s="6" t="s">
        <v>108</v>
      </c>
      <c r="D188" s="32">
        <v>0.19148001000000001</v>
      </c>
      <c r="E188" s="32">
        <v>0.11899999999999999</v>
      </c>
      <c r="F188" s="31">
        <v>135.71</v>
      </c>
      <c r="G188" s="31">
        <v>2.2240000000000002</v>
      </c>
      <c r="H188" s="32">
        <v>8.6319999999999994E-2</v>
      </c>
      <c r="I188" s="31">
        <v>54.017000000000003</v>
      </c>
      <c r="J188" s="32">
        <v>0.23582001</v>
      </c>
      <c r="K188" s="31" t="s">
        <v>488</v>
      </c>
      <c r="L188" s="31">
        <v>7.1050000000000004</v>
      </c>
      <c r="M188" s="31">
        <v>26.027000000000001</v>
      </c>
      <c r="N188" s="31">
        <v>7.6104754999999997</v>
      </c>
      <c r="O188" s="31">
        <v>2.99</v>
      </c>
      <c r="P188" s="31">
        <v>28.874469999999999</v>
      </c>
      <c r="Q188" s="31">
        <v>40984555520</v>
      </c>
    </row>
    <row r="189" spans="1:17" x14ac:dyDescent="0.3">
      <c r="A189" s="1">
        <v>202</v>
      </c>
      <c r="B189" s="6" t="s">
        <v>489</v>
      </c>
      <c r="C189" s="6" t="s">
        <v>182</v>
      </c>
      <c r="D189" s="32">
        <v>0.11572</v>
      </c>
      <c r="E189" s="32">
        <v>2.141</v>
      </c>
      <c r="F189" s="31">
        <v>62.5</v>
      </c>
      <c r="G189" s="31">
        <v>1.206</v>
      </c>
      <c r="H189" s="32">
        <v>0.17560999999999999</v>
      </c>
      <c r="I189" s="31">
        <v>74.781999999999996</v>
      </c>
      <c r="J189" s="32">
        <v>0.20444000000000001</v>
      </c>
      <c r="K189" s="31" t="s">
        <v>490</v>
      </c>
      <c r="L189" s="31">
        <v>3.637</v>
      </c>
      <c r="M189" s="31">
        <v>10.798</v>
      </c>
      <c r="N189" s="31">
        <v>4.741314</v>
      </c>
      <c r="O189" s="31">
        <v>0.56000000000000005</v>
      </c>
      <c r="P189" s="31">
        <v>11.950286999999999</v>
      </c>
      <c r="Q189" s="31">
        <v>42312499200</v>
      </c>
    </row>
    <row r="190" spans="1:17" x14ac:dyDescent="0.3">
      <c r="A190" s="1">
        <v>203</v>
      </c>
      <c r="B190" s="6" t="s">
        <v>492</v>
      </c>
      <c r="C190" s="6" t="s">
        <v>491</v>
      </c>
      <c r="D190" s="32">
        <v>4.7640000000000002E-2</v>
      </c>
      <c r="E190" s="32">
        <v>7.8E-2</v>
      </c>
      <c r="F190" s="31">
        <v>47.12</v>
      </c>
      <c r="G190" s="31">
        <v>0.83099999999999996</v>
      </c>
      <c r="H190" s="32">
        <v>2.649E-2</v>
      </c>
      <c r="I190" s="31">
        <v>117.569</v>
      </c>
      <c r="J190" s="32">
        <v>0.21708</v>
      </c>
      <c r="K190" s="31" t="s">
        <v>493</v>
      </c>
      <c r="L190" s="31">
        <v>0.61899999999999999</v>
      </c>
      <c r="M190" s="31">
        <v>14.787000000000001</v>
      </c>
      <c r="N190" s="31">
        <v>1.7411869</v>
      </c>
      <c r="O190" s="31">
        <v>3.7</v>
      </c>
      <c r="P190" s="31">
        <v>9.2392160000000008</v>
      </c>
      <c r="Q190" s="31">
        <v>40709087232</v>
      </c>
    </row>
    <row r="191" spans="1:17" x14ac:dyDescent="0.3">
      <c r="A191" s="1">
        <v>204</v>
      </c>
      <c r="B191" s="6" t="s">
        <v>494</v>
      </c>
      <c r="C191" s="6" t="s">
        <v>447</v>
      </c>
      <c r="D191" s="32">
        <v>0.10242999999999999</v>
      </c>
      <c r="E191" s="32">
        <v>9.2999999999999999E-2</v>
      </c>
      <c r="F191" s="31">
        <v>39.840000000000003</v>
      </c>
      <c r="G191" s="31">
        <v>0.76200000000000001</v>
      </c>
      <c r="H191" s="32">
        <v>9.9110000000000004E-2</v>
      </c>
      <c r="I191" s="31">
        <v>0</v>
      </c>
      <c r="J191" s="32"/>
      <c r="K191" s="31" t="s">
        <v>495</v>
      </c>
      <c r="L191" s="31">
        <v>0.71</v>
      </c>
      <c r="M191" s="31">
        <v>6.8360000000000003</v>
      </c>
      <c r="O191" s="31">
        <v>0.54</v>
      </c>
      <c r="P191" s="31">
        <v>9.0958900000000007</v>
      </c>
      <c r="Q191" s="31">
        <v>43135565824</v>
      </c>
    </row>
    <row r="192" spans="1:17" x14ac:dyDescent="0.3">
      <c r="A192" s="1">
        <v>205</v>
      </c>
      <c r="B192" s="6" t="s">
        <v>496</v>
      </c>
      <c r="C192" s="6" t="s">
        <v>74</v>
      </c>
      <c r="D192" s="32">
        <v>9.3310006000000001E-2</v>
      </c>
      <c r="E192" s="32">
        <v>2.7E-2</v>
      </c>
      <c r="F192" s="31">
        <v>120.28</v>
      </c>
      <c r="G192" s="31">
        <v>0.82499999999999996</v>
      </c>
      <c r="H192" s="32">
        <v>0.10050000000000001</v>
      </c>
      <c r="I192" s="31">
        <v>1237.856</v>
      </c>
      <c r="J192" s="32">
        <v>2.2963900000000002</v>
      </c>
      <c r="K192" s="31" t="s">
        <v>497</v>
      </c>
      <c r="L192" s="31">
        <v>2.6850000000000001</v>
      </c>
      <c r="M192" s="31">
        <v>14.534000000000001</v>
      </c>
      <c r="N192" s="31">
        <v>85.426130000000001</v>
      </c>
      <c r="O192" s="31">
        <v>-24.22</v>
      </c>
      <c r="P192" s="31">
        <v>17.81926</v>
      </c>
      <c r="Q192" s="31">
        <v>40500318208</v>
      </c>
    </row>
    <row r="193" spans="1:17" x14ac:dyDescent="0.3">
      <c r="A193" s="1">
        <v>206</v>
      </c>
      <c r="B193" s="6" t="s">
        <v>498</v>
      </c>
      <c r="C193" s="6" t="s">
        <v>179</v>
      </c>
      <c r="D193" s="32">
        <v>0.35528999999999999</v>
      </c>
      <c r="E193" s="32">
        <v>0.216</v>
      </c>
      <c r="F193" s="31">
        <v>490.31</v>
      </c>
      <c r="G193" s="31">
        <v>1.8169999999999999</v>
      </c>
      <c r="H193" s="32">
        <v>0.14132</v>
      </c>
      <c r="I193" s="31">
        <v>0</v>
      </c>
      <c r="J193" s="32"/>
      <c r="K193" s="31" t="s">
        <v>499</v>
      </c>
      <c r="L193" s="31">
        <v>26.73</v>
      </c>
      <c r="M193" s="31">
        <v>46.688000000000002</v>
      </c>
      <c r="O193" s="31">
        <v>3.07</v>
      </c>
      <c r="P193" s="31">
        <v>43.973990000000001</v>
      </c>
      <c r="Q193" s="31">
        <v>40424443904</v>
      </c>
    </row>
    <row r="194" spans="1:17" x14ac:dyDescent="0.3">
      <c r="A194" s="1">
        <v>207</v>
      </c>
      <c r="B194" s="6" t="s">
        <v>500</v>
      </c>
      <c r="C194" s="6" t="s">
        <v>479</v>
      </c>
      <c r="D194" s="32">
        <v>0.10213</v>
      </c>
      <c r="E194" s="32">
        <v>0.48</v>
      </c>
      <c r="F194" s="31">
        <v>33.880000000000003</v>
      </c>
      <c r="G194" s="31">
        <v>0.58399999999999996</v>
      </c>
      <c r="H194" s="32">
        <v>3.3210002000000002E-2</v>
      </c>
      <c r="I194" s="31">
        <v>160.65799999999999</v>
      </c>
      <c r="J194" s="32">
        <v>7.3569999999999997E-2</v>
      </c>
      <c r="K194" s="31" t="s">
        <v>501</v>
      </c>
      <c r="L194" s="31">
        <v>5.798</v>
      </c>
      <c r="M194" s="31">
        <v>13.590999999999999</v>
      </c>
      <c r="N194" s="31">
        <v>3.6846116000000002</v>
      </c>
      <c r="O194" s="31">
        <v>10.42</v>
      </c>
      <c r="P194" s="31">
        <v>26.468751999999999</v>
      </c>
      <c r="Q194" s="31">
        <v>41165217792</v>
      </c>
    </row>
    <row r="195" spans="1:17" x14ac:dyDescent="0.3">
      <c r="A195" s="1">
        <v>208</v>
      </c>
      <c r="B195" s="6" t="s">
        <v>502</v>
      </c>
      <c r="C195" s="6" t="s">
        <v>408</v>
      </c>
      <c r="D195" s="32">
        <v>0.15076000000000001</v>
      </c>
      <c r="E195" s="32">
        <v>0.16300000000000001</v>
      </c>
      <c r="F195" s="31">
        <v>2027.29</v>
      </c>
      <c r="G195" s="31">
        <v>0.78500000000000003</v>
      </c>
      <c r="H195" s="32">
        <v>0.13464000000000001</v>
      </c>
      <c r="I195" s="31">
        <v>0</v>
      </c>
      <c r="J195" s="32"/>
      <c r="K195" s="31" t="s">
        <v>503</v>
      </c>
      <c r="L195" s="31">
        <v>8.6329999999999991</v>
      </c>
      <c r="M195" s="31">
        <v>36.883000000000003</v>
      </c>
      <c r="O195" s="31">
        <v>1.41</v>
      </c>
      <c r="P195" s="31">
        <v>17.356936000000001</v>
      </c>
      <c r="Q195" s="31">
        <v>41831915520</v>
      </c>
    </row>
    <row r="196" spans="1:17" x14ac:dyDescent="0.3">
      <c r="A196" s="1">
        <v>209</v>
      </c>
      <c r="B196" s="6" t="s">
        <v>504</v>
      </c>
      <c r="C196" s="6" t="s">
        <v>402</v>
      </c>
      <c r="D196" s="32">
        <v>0.12020001</v>
      </c>
      <c r="E196" s="32">
        <v>6.5000000000000002E-2</v>
      </c>
      <c r="F196" s="31">
        <v>67.39</v>
      </c>
      <c r="G196" s="31">
        <v>0.84599999999999997</v>
      </c>
      <c r="H196" s="32">
        <v>6.5240000000000006E-2</v>
      </c>
      <c r="I196" s="31">
        <v>122.245</v>
      </c>
      <c r="J196" s="32">
        <v>0.22722999999999999</v>
      </c>
      <c r="K196" s="31" t="s">
        <v>505</v>
      </c>
      <c r="L196" s="31">
        <v>2.8719999999999999</v>
      </c>
      <c r="M196" s="31">
        <v>13.446</v>
      </c>
      <c r="N196" s="31">
        <v>4.2678909999999997</v>
      </c>
      <c r="O196" s="31">
        <v>3.89</v>
      </c>
      <c r="P196" s="31">
        <v>17.191326</v>
      </c>
      <c r="Q196" s="31">
        <v>40650117120</v>
      </c>
    </row>
    <row r="197" spans="1:17" x14ac:dyDescent="0.3">
      <c r="A197" s="1">
        <v>210</v>
      </c>
      <c r="B197" s="6" t="s">
        <v>506</v>
      </c>
      <c r="C197" s="6" t="s">
        <v>348</v>
      </c>
      <c r="D197" s="32">
        <v>6.8199999999999997E-3</v>
      </c>
      <c r="E197" s="32">
        <v>8.9999999999999993E-3</v>
      </c>
      <c r="F197" s="31">
        <v>38.72</v>
      </c>
      <c r="G197" s="31">
        <v>1.5920000000000001</v>
      </c>
      <c r="H197" s="32">
        <v>3.0259999999999999E-2</v>
      </c>
      <c r="I197" s="31">
        <v>39.704000000000001</v>
      </c>
      <c r="J197" s="32">
        <v>1.6629999999999999E-2</v>
      </c>
      <c r="K197" s="31" t="s">
        <v>507</v>
      </c>
      <c r="L197" s="31">
        <v>1.345</v>
      </c>
      <c r="M197" s="31">
        <v>9.4849999999999994</v>
      </c>
      <c r="N197" s="31">
        <v>2.3519408999999998</v>
      </c>
      <c r="O197" s="31">
        <v>0.11</v>
      </c>
      <c r="P197" s="31">
        <v>32</v>
      </c>
      <c r="Q197" s="31">
        <v>33685161984</v>
      </c>
    </row>
    <row r="198" spans="1:17" x14ac:dyDescent="0.3">
      <c r="A198" s="1">
        <v>211</v>
      </c>
      <c r="B198" s="6" t="s">
        <v>508</v>
      </c>
      <c r="C198" s="6" t="s">
        <v>452</v>
      </c>
      <c r="D198" s="32">
        <v>0.17267999000000001</v>
      </c>
      <c r="E198" s="32">
        <v>0.64100000000000001</v>
      </c>
      <c r="F198" s="31">
        <v>67.95</v>
      </c>
      <c r="G198" s="31">
        <v>0.42799999999999999</v>
      </c>
      <c r="H198" s="32">
        <v>1.865E-2</v>
      </c>
      <c r="I198" s="31">
        <v>61.451999999999998</v>
      </c>
      <c r="J198" s="32">
        <v>1.9960001000000002E-2</v>
      </c>
      <c r="K198" s="31" t="s">
        <v>509</v>
      </c>
      <c r="L198" s="31">
        <v>26.004999999999999</v>
      </c>
      <c r="M198" s="31">
        <v>30.908999999999999</v>
      </c>
      <c r="N198" s="31">
        <v>2.0596526000000002</v>
      </c>
      <c r="O198" s="31">
        <v>9.68</v>
      </c>
      <c r="P198" s="31">
        <v>39.277453999999999</v>
      </c>
      <c r="Q198" s="31">
        <v>38443728896</v>
      </c>
    </row>
    <row r="199" spans="1:17" x14ac:dyDescent="0.3">
      <c r="A199" s="1">
        <v>212</v>
      </c>
      <c r="B199" s="6" t="s">
        <v>510</v>
      </c>
      <c r="C199" s="6" t="s">
        <v>425</v>
      </c>
      <c r="D199" s="32">
        <v>8.5800000000000008E-3</v>
      </c>
      <c r="E199" s="32">
        <v>1.2490000000000001</v>
      </c>
      <c r="F199" s="31">
        <v>97.25</v>
      </c>
      <c r="G199" s="31">
        <v>1.256</v>
      </c>
      <c r="H199" s="32">
        <v>2.5479999999999999E-2</v>
      </c>
      <c r="I199" s="31">
        <v>76.322999999999993</v>
      </c>
      <c r="J199" s="32">
        <v>6.5280000000000005E-2</v>
      </c>
      <c r="K199" s="31" t="s">
        <v>511</v>
      </c>
      <c r="L199" s="31">
        <v>0.439</v>
      </c>
      <c r="M199" s="31">
        <v>10.362</v>
      </c>
      <c r="N199" s="31">
        <v>2.2750134000000002</v>
      </c>
      <c r="O199" s="31">
        <v>-4.1500000000000004</v>
      </c>
      <c r="P199" s="31">
        <v>16.235393999999999</v>
      </c>
      <c r="Q199" s="31">
        <v>39759302656</v>
      </c>
    </row>
    <row r="200" spans="1:17" x14ac:dyDescent="0.3">
      <c r="A200" s="1">
        <v>213</v>
      </c>
      <c r="B200" s="6" t="s">
        <v>513</v>
      </c>
      <c r="C200" s="6" t="s">
        <v>512</v>
      </c>
      <c r="D200" s="32">
        <v>8.0719990000000005E-2</v>
      </c>
      <c r="E200" s="32">
        <v>0.11700000000000001</v>
      </c>
      <c r="F200" s="31">
        <v>46.39</v>
      </c>
      <c r="G200" s="31">
        <v>1.7210000000000001</v>
      </c>
      <c r="H200" s="32">
        <v>6.2609999999999999E-2</v>
      </c>
      <c r="I200" s="31">
        <v>145.94</v>
      </c>
      <c r="J200" s="32">
        <v>0.24882999</v>
      </c>
      <c r="K200" s="31" t="s">
        <v>514</v>
      </c>
      <c r="L200" s="31">
        <v>2.2679999999999998</v>
      </c>
      <c r="M200" s="31">
        <v>16.085999999999999</v>
      </c>
      <c r="N200" s="31">
        <v>5.8264256000000003</v>
      </c>
      <c r="O200" s="31">
        <v>1.68</v>
      </c>
      <c r="P200" s="31">
        <v>19.824787000000001</v>
      </c>
      <c r="Q200" s="31">
        <v>40200880128</v>
      </c>
    </row>
    <row r="201" spans="1:17" x14ac:dyDescent="0.3">
      <c r="A201" s="1">
        <v>214</v>
      </c>
      <c r="B201" s="6" t="s">
        <v>515</v>
      </c>
      <c r="C201" s="6" t="s">
        <v>158</v>
      </c>
      <c r="D201" s="32">
        <v>0.29224001999999999</v>
      </c>
      <c r="E201" s="32">
        <v>0.17699999999999999</v>
      </c>
      <c r="F201" s="31">
        <v>77.09</v>
      </c>
      <c r="G201" s="31">
        <v>2.0129999999999999</v>
      </c>
      <c r="H201" s="32">
        <v>2.6530001000000001E-2</v>
      </c>
      <c r="I201" s="31">
        <v>40.603000000000002</v>
      </c>
      <c r="J201" s="32">
        <v>4.6420000000000003E-2</v>
      </c>
      <c r="K201" s="31" t="s">
        <v>516</v>
      </c>
      <c r="L201" s="31">
        <v>2.3780000000000001</v>
      </c>
      <c r="M201" s="31">
        <v>9.4320000000000004</v>
      </c>
      <c r="N201" s="31">
        <v>1.4996594999999999</v>
      </c>
      <c r="O201" s="31">
        <v>1.25</v>
      </c>
      <c r="P201" s="31">
        <v>15.605262</v>
      </c>
      <c r="Q201" s="31">
        <v>39940636672</v>
      </c>
    </row>
    <row r="202" spans="1:17" x14ac:dyDescent="0.3">
      <c r="A202" s="1">
        <v>215</v>
      </c>
      <c r="B202" s="6" t="s">
        <v>517</v>
      </c>
      <c r="C202" s="6" t="s">
        <v>226</v>
      </c>
      <c r="D202" s="32">
        <v>9.7500000000000003E-2</v>
      </c>
      <c r="E202" s="32">
        <v>8.5000000000000006E-2</v>
      </c>
      <c r="F202" s="31">
        <v>77.209999999999994</v>
      </c>
      <c r="G202" s="31">
        <v>2.3730000000000002</v>
      </c>
      <c r="H202" s="32">
        <v>6.2119998000000003E-2</v>
      </c>
      <c r="I202" s="31">
        <v>73.057000000000002</v>
      </c>
      <c r="J202" s="32">
        <v>0.14055000000000001</v>
      </c>
      <c r="K202" s="31" t="s">
        <v>518</v>
      </c>
      <c r="L202" s="31">
        <v>3.7320000000000002</v>
      </c>
      <c r="M202" s="31">
        <v>16.356000000000002</v>
      </c>
      <c r="N202" s="31">
        <v>4.407718</v>
      </c>
      <c r="O202" s="31">
        <v>2.1800000000000002</v>
      </c>
      <c r="P202" s="31">
        <v>17.627853000000002</v>
      </c>
      <c r="Q202" s="31">
        <v>38658506752</v>
      </c>
    </row>
    <row r="203" spans="1:17" x14ac:dyDescent="0.3">
      <c r="A203" s="1">
        <v>216</v>
      </c>
      <c r="B203" s="6" t="s">
        <v>520</v>
      </c>
      <c r="C203" s="6" t="s">
        <v>519</v>
      </c>
      <c r="D203" s="32">
        <v>0.38617000000000001</v>
      </c>
      <c r="E203" s="32">
        <v>8.9999999999999993E-3</v>
      </c>
      <c r="F203" s="31">
        <v>138.22999999999999</v>
      </c>
      <c r="G203" s="31">
        <v>0.63100000000000001</v>
      </c>
      <c r="H203" s="32">
        <v>1.308E-2</v>
      </c>
      <c r="I203" s="31">
        <v>81.942999999999998</v>
      </c>
      <c r="J203" s="32">
        <v>9.4420000000000004E-2</v>
      </c>
      <c r="K203" s="31" t="s">
        <v>521</v>
      </c>
      <c r="L203" s="31">
        <v>12.428000000000001</v>
      </c>
      <c r="M203" s="31">
        <v>24.440999999999999</v>
      </c>
      <c r="N203" s="31">
        <v>2.3718661999999999</v>
      </c>
      <c r="O203" s="31">
        <v>2.77</v>
      </c>
      <c r="P203" s="31">
        <v>89.18065</v>
      </c>
      <c r="Q203" s="31">
        <v>39227875328</v>
      </c>
    </row>
    <row r="204" spans="1:17" x14ac:dyDescent="0.3">
      <c r="A204" s="1">
        <v>217</v>
      </c>
      <c r="B204" s="6" t="s">
        <v>522</v>
      </c>
      <c r="C204" s="6" t="s">
        <v>105</v>
      </c>
      <c r="D204" s="32">
        <v>0.15459999999999999</v>
      </c>
      <c r="E204" s="32">
        <v>0.128</v>
      </c>
      <c r="F204" s="31">
        <v>232.4</v>
      </c>
      <c r="G204" s="31">
        <v>1.381</v>
      </c>
      <c r="H204" s="32">
        <v>0.10668000599999999</v>
      </c>
      <c r="I204" s="31">
        <v>0</v>
      </c>
      <c r="J204" s="32"/>
      <c r="K204" s="31" t="s">
        <v>523</v>
      </c>
      <c r="L204" s="31">
        <v>6.0590000000000002</v>
      </c>
      <c r="M204" s="31">
        <v>21.468</v>
      </c>
      <c r="O204" s="31">
        <v>2.0499999999999998</v>
      </c>
      <c r="P204" s="31">
        <v>23.522265999999998</v>
      </c>
      <c r="Q204" s="31">
        <v>39251660800</v>
      </c>
    </row>
    <row r="205" spans="1:17" x14ac:dyDescent="0.3">
      <c r="A205" s="1">
        <v>218</v>
      </c>
      <c r="B205" s="6" t="s">
        <v>524</v>
      </c>
      <c r="C205" s="6" t="s">
        <v>245</v>
      </c>
      <c r="D205" s="32">
        <v>3.1609999999999999E-2</v>
      </c>
      <c r="E205" s="32">
        <v>0.187</v>
      </c>
      <c r="F205" s="31">
        <v>141.80000000000001</v>
      </c>
      <c r="G205" s="31">
        <v>0.436</v>
      </c>
      <c r="H205" s="32">
        <v>3.8809999999999997E-2</v>
      </c>
      <c r="I205" s="31">
        <v>33.600999999999999</v>
      </c>
      <c r="J205" s="32">
        <v>0.18642998999999999</v>
      </c>
      <c r="K205" s="31" t="s">
        <v>525</v>
      </c>
      <c r="L205" s="31">
        <v>0.78400000000000003</v>
      </c>
      <c r="M205" s="31">
        <v>4.9039999999999999</v>
      </c>
      <c r="N205" s="31">
        <v>1.6494317999999999</v>
      </c>
      <c r="O205" s="31">
        <v>-1.81</v>
      </c>
      <c r="P205" s="31">
        <v>13.352166</v>
      </c>
      <c r="Q205" s="31">
        <v>40650657792</v>
      </c>
    </row>
    <row r="206" spans="1:17" x14ac:dyDescent="0.3">
      <c r="A206" s="1">
        <v>219</v>
      </c>
      <c r="B206" s="6" t="s">
        <v>526</v>
      </c>
      <c r="C206" s="6" t="s">
        <v>155</v>
      </c>
      <c r="D206" s="32">
        <v>0.12056</v>
      </c>
      <c r="E206" s="32">
        <v>0.09</v>
      </c>
      <c r="F206" s="31">
        <v>70.7</v>
      </c>
      <c r="G206" s="31">
        <v>0.77800000000000002</v>
      </c>
      <c r="H206" s="32">
        <v>2.4660000000000001E-2</v>
      </c>
      <c r="I206" s="31">
        <v>163.63499999999999</v>
      </c>
      <c r="J206" s="32">
        <v>0.10847</v>
      </c>
      <c r="K206" s="31" t="s">
        <v>527</v>
      </c>
      <c r="L206" s="31">
        <v>4.681</v>
      </c>
      <c r="M206" s="31">
        <v>13.836</v>
      </c>
      <c r="N206" s="31">
        <v>2.5093166999999998</v>
      </c>
      <c r="O206" s="31">
        <v>3.34</v>
      </c>
      <c r="P206" s="31">
        <v>22.302837</v>
      </c>
      <c r="Q206" s="31">
        <v>38084390912</v>
      </c>
    </row>
    <row r="207" spans="1:17" x14ac:dyDescent="0.3">
      <c r="A207" s="1">
        <v>220</v>
      </c>
      <c r="B207" s="6" t="s">
        <v>528</v>
      </c>
      <c r="C207" s="6" t="s">
        <v>455</v>
      </c>
      <c r="D207" s="32">
        <v>0.11376</v>
      </c>
      <c r="E207" s="32">
        <v>0.14799999999999999</v>
      </c>
      <c r="F207" s="31">
        <v>136.19</v>
      </c>
      <c r="G207" s="31">
        <v>1.151</v>
      </c>
      <c r="H207" s="32">
        <v>2.257E-2</v>
      </c>
      <c r="I207" s="31">
        <v>43.173000000000002</v>
      </c>
      <c r="J207" s="32">
        <v>3.5180000000000003E-2</v>
      </c>
      <c r="K207" s="31" t="s">
        <v>529</v>
      </c>
      <c r="L207" s="31">
        <v>6.2270000000000003</v>
      </c>
      <c r="M207" s="31">
        <v>15.568</v>
      </c>
      <c r="N207" s="31">
        <v>1.5109558000000001</v>
      </c>
      <c r="O207" s="31">
        <v>0.88</v>
      </c>
      <c r="P207" s="31">
        <v>14.201250999999999</v>
      </c>
      <c r="Q207" s="31">
        <v>39515668480</v>
      </c>
    </row>
    <row r="208" spans="1:17" x14ac:dyDescent="0.3">
      <c r="A208" s="1">
        <v>221</v>
      </c>
      <c r="B208" s="6" t="s">
        <v>530</v>
      </c>
      <c r="C208" s="6" t="s">
        <v>165</v>
      </c>
      <c r="D208" s="32">
        <v>0.16236999999999999</v>
      </c>
      <c r="E208" s="32">
        <v>7.8E-2</v>
      </c>
      <c r="F208" s="31">
        <v>675.53</v>
      </c>
      <c r="G208" s="31">
        <v>5.0590000000000002</v>
      </c>
      <c r="H208" s="32">
        <v>6.2670000000000003E-2</v>
      </c>
      <c r="I208" s="31">
        <v>0</v>
      </c>
      <c r="J208" s="32"/>
      <c r="K208" s="31" t="s">
        <v>531</v>
      </c>
      <c r="L208" s="31">
        <v>17.879000000000001</v>
      </c>
      <c r="M208" s="31">
        <v>40.520000000000003</v>
      </c>
      <c r="O208" s="31">
        <v>1.56</v>
      </c>
      <c r="P208" s="31">
        <v>31.985323000000001</v>
      </c>
      <c r="Q208" s="31">
        <v>37322289152</v>
      </c>
    </row>
    <row r="209" spans="1:17" x14ac:dyDescent="0.3">
      <c r="A209" s="1">
        <v>222</v>
      </c>
      <c r="B209" s="6" t="s">
        <v>532</v>
      </c>
      <c r="C209" s="6" t="s">
        <v>223</v>
      </c>
      <c r="D209" s="32">
        <v>0.1188</v>
      </c>
      <c r="E209" s="32">
        <v>0.121</v>
      </c>
      <c r="F209" s="31">
        <v>290.43</v>
      </c>
      <c r="G209" s="31">
        <v>1.504</v>
      </c>
      <c r="H209" s="32">
        <v>8.0010003999999996E-2</v>
      </c>
      <c r="I209" s="31">
        <v>96.394999999999996</v>
      </c>
      <c r="J209" s="32">
        <v>0.22874</v>
      </c>
      <c r="K209" s="31" t="s">
        <v>533</v>
      </c>
      <c r="L209" s="31">
        <v>2.9510000000000001</v>
      </c>
      <c r="M209" s="31">
        <v>13.718999999999999</v>
      </c>
      <c r="N209" s="31">
        <v>4.3959250000000001</v>
      </c>
      <c r="O209" s="31">
        <v>1.65</v>
      </c>
      <c r="P209" s="31">
        <v>14.870967</v>
      </c>
      <c r="Q209" s="31">
        <v>37324611584</v>
      </c>
    </row>
    <row r="210" spans="1:17" x14ac:dyDescent="0.3">
      <c r="A210" s="1">
        <v>223</v>
      </c>
      <c r="B210" s="6" t="s">
        <v>535</v>
      </c>
      <c r="C210" s="6" t="s">
        <v>534</v>
      </c>
      <c r="D210" s="32">
        <v>0.19679000999999999</v>
      </c>
      <c r="E210" s="32">
        <v>0.314</v>
      </c>
      <c r="F210" s="31">
        <v>313.76</v>
      </c>
      <c r="G210" s="31">
        <v>2.9809999999999999</v>
      </c>
      <c r="H210" s="32">
        <v>0.18926000000000001</v>
      </c>
      <c r="I210" s="31">
        <v>5.51</v>
      </c>
      <c r="J210" s="32">
        <v>0.29527999999999999</v>
      </c>
      <c r="K210" s="31" t="s">
        <v>536</v>
      </c>
      <c r="L210" s="31">
        <v>6.5019999999999998</v>
      </c>
      <c r="M210" s="31">
        <v>20.693999999999999</v>
      </c>
      <c r="N210" s="31">
        <v>10.551875000000001</v>
      </c>
      <c r="O210" s="31">
        <v>1.39</v>
      </c>
      <c r="P210" s="31">
        <v>30.491741000000001</v>
      </c>
      <c r="Q210" s="31">
        <v>36085854208</v>
      </c>
    </row>
    <row r="211" spans="1:17" x14ac:dyDescent="0.3">
      <c r="A211" s="1">
        <v>224</v>
      </c>
      <c r="B211" s="6" t="s">
        <v>537</v>
      </c>
      <c r="C211" s="6" t="s">
        <v>223</v>
      </c>
      <c r="D211" s="32">
        <v>9.8229999999999998E-2</v>
      </c>
      <c r="E211" s="32">
        <v>6.4000000000000001E-2</v>
      </c>
      <c r="F211" s="31">
        <v>155.58000000000001</v>
      </c>
      <c r="G211" s="31">
        <v>1.621</v>
      </c>
      <c r="H211" s="32">
        <v>6.8849999999999995E-2</v>
      </c>
      <c r="I211" s="31">
        <v>74.62</v>
      </c>
      <c r="J211" s="32">
        <v>0.21420998999999999</v>
      </c>
      <c r="K211" s="31" t="s">
        <v>538</v>
      </c>
      <c r="L211" s="31">
        <v>3.524</v>
      </c>
      <c r="M211" s="31">
        <v>21.68</v>
      </c>
      <c r="N211" s="31">
        <v>5.7064260000000004</v>
      </c>
      <c r="O211" s="31">
        <v>1.44</v>
      </c>
      <c r="P211" s="31">
        <v>22.289397999999998</v>
      </c>
      <c r="Q211" s="31">
        <v>36956475392</v>
      </c>
    </row>
    <row r="212" spans="1:17" x14ac:dyDescent="0.3">
      <c r="A212" s="1">
        <v>225</v>
      </c>
      <c r="B212" s="6" t="s">
        <v>539</v>
      </c>
      <c r="C212" s="6" t="s">
        <v>425</v>
      </c>
      <c r="D212" s="32">
        <v>1.1809999999999999E-2</v>
      </c>
      <c r="E212" s="32">
        <v>0.98899999999999999</v>
      </c>
      <c r="F212" s="31">
        <v>83.85</v>
      </c>
      <c r="G212" s="31">
        <v>1.1479999999999999</v>
      </c>
      <c r="H212" s="32">
        <v>7.1700000000000002E-3</v>
      </c>
      <c r="I212" s="31">
        <v>71.709999999999994</v>
      </c>
      <c r="J212" s="32">
        <v>7.3860005000000006E-2</v>
      </c>
      <c r="K212" s="31" t="s">
        <v>540</v>
      </c>
      <c r="L212" s="31">
        <v>0.46500000000000002</v>
      </c>
      <c r="M212" s="31">
        <v>23.893999999999998</v>
      </c>
      <c r="N212" s="31">
        <v>2.0251667000000002</v>
      </c>
      <c r="O212" s="31">
        <v>-1.7</v>
      </c>
      <c r="P212" s="31">
        <v>12.169810999999999</v>
      </c>
      <c r="Q212" s="31">
        <v>36743237632</v>
      </c>
    </row>
    <row r="213" spans="1:17" x14ac:dyDescent="0.3">
      <c r="A213" s="1">
        <v>226</v>
      </c>
      <c r="B213" s="6" t="s">
        <v>541</v>
      </c>
      <c r="C213" s="6" t="s">
        <v>332</v>
      </c>
      <c r="D213" s="32">
        <v>0.122729994</v>
      </c>
      <c r="E213" s="32">
        <v>0.58599999999999997</v>
      </c>
      <c r="F213" s="31">
        <v>127.32</v>
      </c>
      <c r="G213" s="31">
        <v>1.3149999999999999</v>
      </c>
      <c r="H213" s="32">
        <v>5.7119999999999997E-2</v>
      </c>
      <c r="I213" s="31">
        <v>27.94</v>
      </c>
      <c r="J213" s="32">
        <v>9.8549990000000004E-2</v>
      </c>
      <c r="K213" s="31" t="s">
        <v>542</v>
      </c>
      <c r="L213" s="31">
        <v>5.9509999999999996</v>
      </c>
      <c r="M213" s="31">
        <v>26.805</v>
      </c>
      <c r="N213" s="31">
        <v>4.5972200000000001</v>
      </c>
      <c r="O213" s="31">
        <v>0.73</v>
      </c>
      <c r="P213" s="31">
        <v>16.908365</v>
      </c>
      <c r="Q213" s="31">
        <v>36007112704</v>
      </c>
    </row>
    <row r="214" spans="1:17" x14ac:dyDescent="0.3">
      <c r="A214" s="1">
        <v>227</v>
      </c>
      <c r="B214" s="6" t="s">
        <v>543</v>
      </c>
      <c r="C214" s="6" t="s">
        <v>71</v>
      </c>
      <c r="D214" s="32">
        <v>5.2929999999999998E-2</v>
      </c>
      <c r="E214" s="32">
        <v>3.9E-2</v>
      </c>
      <c r="F214" s="31">
        <v>156.41</v>
      </c>
      <c r="G214" s="31">
        <v>1.252</v>
      </c>
      <c r="H214" s="32">
        <v>5.8650000000000001E-2</v>
      </c>
      <c r="I214" s="31">
        <v>134.864</v>
      </c>
      <c r="J214" s="32">
        <v>0.19379999000000001</v>
      </c>
      <c r="K214" s="31" t="s">
        <v>544</v>
      </c>
      <c r="L214" s="31">
        <v>1.5680000000000001</v>
      </c>
      <c r="M214" s="31">
        <v>15.199</v>
      </c>
      <c r="N214" s="31">
        <v>4.8556436999999999</v>
      </c>
      <c r="O214" s="31">
        <v>1.7</v>
      </c>
      <c r="P214" s="31">
        <v>20.938421000000002</v>
      </c>
      <c r="Q214" s="31">
        <v>35185369088</v>
      </c>
    </row>
    <row r="215" spans="1:17" x14ac:dyDescent="0.3">
      <c r="A215" s="1">
        <v>228</v>
      </c>
      <c r="B215" s="6" t="s">
        <v>545</v>
      </c>
      <c r="C215" s="6" t="s">
        <v>226</v>
      </c>
      <c r="D215" s="32">
        <v>0.14923</v>
      </c>
      <c r="E215" s="32">
        <v>0.20200000000000001</v>
      </c>
      <c r="F215" s="31">
        <v>240.33</v>
      </c>
      <c r="G215" s="31">
        <v>2.5409999999999999</v>
      </c>
      <c r="H215" s="32">
        <v>0.12869</v>
      </c>
      <c r="I215" s="31">
        <v>31.398</v>
      </c>
      <c r="J215" s="32">
        <v>0.17519999999999999</v>
      </c>
      <c r="K215" s="31" t="s">
        <v>546</v>
      </c>
      <c r="L215" s="31">
        <v>10.57</v>
      </c>
      <c r="M215" s="31">
        <v>32.973999999999997</v>
      </c>
      <c r="N215" s="31">
        <v>11.572687</v>
      </c>
      <c r="O215" s="31">
        <v>1.75</v>
      </c>
      <c r="P215" s="31">
        <v>35.239001999999999</v>
      </c>
      <c r="Q215" s="31">
        <v>35021611008</v>
      </c>
    </row>
    <row r="216" spans="1:17" x14ac:dyDescent="0.3">
      <c r="A216" s="1">
        <v>229</v>
      </c>
      <c r="B216" s="6" t="s">
        <v>547</v>
      </c>
      <c r="C216" s="6" t="s">
        <v>158</v>
      </c>
      <c r="D216" s="32">
        <v>0.12149999</v>
      </c>
      <c r="E216" s="32">
        <v>0.61599999999999999</v>
      </c>
      <c r="F216" s="31">
        <v>107.69</v>
      </c>
      <c r="G216" s="31">
        <v>1.69</v>
      </c>
      <c r="H216" s="32">
        <v>0.12806000000000001</v>
      </c>
      <c r="I216" s="31">
        <v>115.79900000000001</v>
      </c>
      <c r="J216" s="32">
        <v>0.55903000000000003</v>
      </c>
      <c r="K216" s="31" t="s">
        <v>548</v>
      </c>
      <c r="L216" s="31">
        <v>0.94499999999999995</v>
      </c>
      <c r="M216" s="31">
        <v>5.0670000000000002</v>
      </c>
      <c r="N216" s="31">
        <v>3.0447570000000002</v>
      </c>
      <c r="O216" s="31">
        <v>0.11</v>
      </c>
      <c r="P216" s="31">
        <v>7.0802107000000003</v>
      </c>
      <c r="Q216" s="31">
        <v>35837509632</v>
      </c>
    </row>
    <row r="217" spans="1:17" x14ac:dyDescent="0.3">
      <c r="A217" s="1">
        <v>230</v>
      </c>
      <c r="B217" s="6" t="s">
        <v>549</v>
      </c>
      <c r="C217" s="6" t="s">
        <v>218</v>
      </c>
      <c r="D217" s="32">
        <v>0.13091</v>
      </c>
      <c r="E217" s="32">
        <v>0.127</v>
      </c>
      <c r="F217" s="31">
        <v>328.99</v>
      </c>
      <c r="G217" s="31">
        <v>0.68200000000000005</v>
      </c>
      <c r="H217" s="32">
        <v>5.203E-2</v>
      </c>
      <c r="I217" s="31">
        <v>0</v>
      </c>
      <c r="J217" s="32"/>
      <c r="K217" s="31" t="s">
        <v>550</v>
      </c>
      <c r="L217" s="31">
        <v>21.956</v>
      </c>
      <c r="M217" s="31">
        <v>33.17</v>
      </c>
      <c r="O217" s="31">
        <v>0.8</v>
      </c>
      <c r="P217" s="31">
        <v>82.660804999999996</v>
      </c>
      <c r="Q217" s="31">
        <v>35787862016</v>
      </c>
    </row>
    <row r="218" spans="1:17" x14ac:dyDescent="0.3">
      <c r="A218" s="1">
        <v>231</v>
      </c>
      <c r="B218" s="6" t="s">
        <v>551</v>
      </c>
      <c r="C218" s="6" t="s">
        <v>264</v>
      </c>
      <c r="D218" s="32">
        <v>0.12168</v>
      </c>
      <c r="E218" s="32">
        <v>0.16500000000000001</v>
      </c>
      <c r="F218" s="31">
        <v>168.06</v>
      </c>
      <c r="G218" s="31">
        <v>1.298</v>
      </c>
      <c r="H218" s="32">
        <v>3.5560000000000001E-2</v>
      </c>
      <c r="I218" s="31">
        <v>68.385999999999996</v>
      </c>
      <c r="J218" s="32">
        <v>0.13818</v>
      </c>
      <c r="K218" s="31" t="s">
        <v>552</v>
      </c>
      <c r="L218" s="31">
        <v>4.8970000000000002</v>
      </c>
      <c r="M218" s="31">
        <v>20.027999999999999</v>
      </c>
      <c r="N218" s="31">
        <v>4.1370649999999998</v>
      </c>
      <c r="O218" s="31">
        <v>2.5299999999999998</v>
      </c>
      <c r="P218" s="31">
        <v>28.150755</v>
      </c>
      <c r="Q218" s="31">
        <v>34835140608</v>
      </c>
    </row>
    <row r="219" spans="1:17" x14ac:dyDescent="0.3">
      <c r="A219" s="1">
        <v>232</v>
      </c>
      <c r="B219" s="6" t="s">
        <v>553</v>
      </c>
      <c r="C219" s="6" t="s">
        <v>141</v>
      </c>
      <c r="D219" s="32">
        <v>0.23922001000000001</v>
      </c>
      <c r="E219" s="32">
        <v>8.4000000000000005E-2</v>
      </c>
      <c r="F219" s="31">
        <v>119.62</v>
      </c>
      <c r="G219" s="31">
        <v>1.083</v>
      </c>
      <c r="H219" s="32">
        <v>0.22603000000000001</v>
      </c>
      <c r="I219" s="31">
        <v>0</v>
      </c>
      <c r="J219" s="32"/>
      <c r="K219" s="31" t="s">
        <v>554</v>
      </c>
      <c r="L219" s="31">
        <v>6.9930000000000003</v>
      </c>
      <c r="M219" s="31">
        <v>20.010000000000002</v>
      </c>
      <c r="O219" s="31">
        <v>1.98</v>
      </c>
      <c r="P219" s="31">
        <v>24.165659000000002</v>
      </c>
      <c r="Q219" s="31">
        <v>35064569856</v>
      </c>
    </row>
    <row r="220" spans="1:17" x14ac:dyDescent="0.3">
      <c r="A220" s="1">
        <v>233</v>
      </c>
      <c r="B220" s="6" t="s">
        <v>555</v>
      </c>
      <c r="C220" s="6" t="s">
        <v>213</v>
      </c>
      <c r="D220" s="32">
        <v>0.20530999999999999</v>
      </c>
      <c r="E220" s="32">
        <v>0.18</v>
      </c>
      <c r="F220" s="31">
        <v>314.63</v>
      </c>
      <c r="G220" s="31">
        <v>3.2189999999999999</v>
      </c>
      <c r="H220" s="32">
        <v>1.5299999999999999E-2</v>
      </c>
      <c r="I220" s="31">
        <v>67.563999999999993</v>
      </c>
      <c r="J220" s="32">
        <v>0.47783999999999999</v>
      </c>
      <c r="K220" s="31" t="s">
        <v>556</v>
      </c>
      <c r="L220" s="31">
        <v>2.0550000000000002</v>
      </c>
      <c r="M220" s="31">
        <v>6.45</v>
      </c>
      <c r="N220" s="31">
        <v>6.1965529999999998</v>
      </c>
      <c r="O220" s="31">
        <v>0.56999999999999995</v>
      </c>
      <c r="P220" s="31">
        <v>12.769075000000001</v>
      </c>
      <c r="Q220" s="31">
        <v>35203952640</v>
      </c>
    </row>
    <row r="221" spans="1:17" x14ac:dyDescent="0.3">
      <c r="A221" s="1">
        <v>234</v>
      </c>
      <c r="B221" s="6" t="s">
        <v>557</v>
      </c>
      <c r="C221" s="6" t="s">
        <v>126</v>
      </c>
      <c r="D221" s="32">
        <v>0.19531999999999999</v>
      </c>
      <c r="E221" s="32">
        <v>0.23599999999999999</v>
      </c>
      <c r="F221" s="31">
        <v>430.44</v>
      </c>
      <c r="G221" s="31">
        <v>1.296</v>
      </c>
      <c r="H221" s="32">
        <v>0.11330999999999999</v>
      </c>
      <c r="I221" s="31">
        <v>2.8340000000000001</v>
      </c>
      <c r="J221" s="32">
        <v>0.22518998000000001</v>
      </c>
      <c r="K221" s="31" t="s">
        <v>558</v>
      </c>
      <c r="L221" s="31">
        <v>9.8049999999999997</v>
      </c>
      <c r="M221" s="31">
        <v>35.819000000000003</v>
      </c>
      <c r="N221" s="31">
        <v>9.6511209999999998</v>
      </c>
      <c r="O221" s="31">
        <v>1.3</v>
      </c>
      <c r="P221" s="31">
        <v>32.074516000000003</v>
      </c>
      <c r="Q221" s="31">
        <v>33941530624</v>
      </c>
    </row>
    <row r="222" spans="1:17" x14ac:dyDescent="0.3">
      <c r="A222" s="1">
        <v>236</v>
      </c>
      <c r="B222" s="6" t="s">
        <v>560</v>
      </c>
      <c r="C222" s="6" t="s">
        <v>559</v>
      </c>
      <c r="D222" s="32">
        <v>0.44369999999999998</v>
      </c>
      <c r="E222" s="32">
        <v>2.5999999999999999E-2</v>
      </c>
      <c r="F222" s="31">
        <v>247.24</v>
      </c>
      <c r="G222" s="31">
        <v>1.0449999999999999</v>
      </c>
      <c r="H222" s="32">
        <v>1.983E-2</v>
      </c>
      <c r="I222" s="31">
        <v>73.709000000000003</v>
      </c>
      <c r="J222" s="32">
        <v>9.4130000000000005E-2</v>
      </c>
      <c r="K222" s="31" t="s">
        <v>561</v>
      </c>
      <c r="L222" s="31">
        <v>18.984999999999999</v>
      </c>
      <c r="M222" s="31">
        <v>31.969000000000001</v>
      </c>
      <c r="N222" s="31">
        <v>3.195058</v>
      </c>
      <c r="O222" s="31">
        <v>17.38</v>
      </c>
      <c r="P222" s="31">
        <v>63.071429999999999</v>
      </c>
      <c r="Q222" s="31">
        <v>34549563392</v>
      </c>
    </row>
    <row r="223" spans="1:17" x14ac:dyDescent="0.3">
      <c r="A223" s="1">
        <v>237</v>
      </c>
      <c r="B223" s="6" t="s">
        <v>562</v>
      </c>
      <c r="C223" s="6" t="s">
        <v>381</v>
      </c>
      <c r="D223" s="32">
        <v>-7.2999999999999995E-2</v>
      </c>
      <c r="E223" s="32">
        <v>-0.19700000000000001</v>
      </c>
      <c r="F223" s="31">
        <v>68.31</v>
      </c>
      <c r="G223" s="31">
        <v>0.84099999999999997</v>
      </c>
      <c r="H223" s="32">
        <v>2.034E-2</v>
      </c>
      <c r="I223" s="31">
        <v>141.98599999999999</v>
      </c>
      <c r="J223" s="32">
        <v>-4.4269999999999997E-2</v>
      </c>
      <c r="K223" s="31" t="s">
        <v>563</v>
      </c>
      <c r="L223" s="31">
        <v>5.6829999999999998</v>
      </c>
      <c r="M223" s="31">
        <v>16.792000000000002</v>
      </c>
      <c r="N223" s="31">
        <v>2.4470713000000002</v>
      </c>
      <c r="O223" s="31">
        <v>5.44</v>
      </c>
      <c r="P223" s="31">
        <v>19.685879</v>
      </c>
      <c r="Q223" s="31">
        <v>34541907968</v>
      </c>
    </row>
    <row r="224" spans="1:17" x14ac:dyDescent="0.3">
      <c r="A224" s="1">
        <v>238</v>
      </c>
      <c r="B224" s="6" t="s">
        <v>564</v>
      </c>
      <c r="C224" s="6" t="s">
        <v>213</v>
      </c>
      <c r="D224" s="32">
        <v>0.40183996999999999</v>
      </c>
      <c r="E224" s="32">
        <v>0.13200000000000001</v>
      </c>
      <c r="F224" s="31">
        <v>148.91999999999999</v>
      </c>
      <c r="G224" s="31">
        <v>1.569</v>
      </c>
      <c r="H224" s="32">
        <v>0.20188998999999999</v>
      </c>
      <c r="I224" s="31">
        <v>3.5369999999999999</v>
      </c>
      <c r="J224" s="32">
        <v>0.31742999999999999</v>
      </c>
      <c r="K224" s="31" t="s">
        <v>565</v>
      </c>
      <c r="L224" s="31">
        <v>4.1340000000000003</v>
      </c>
      <c r="M224" s="31">
        <v>8.0370000000000008</v>
      </c>
      <c r="N224" s="31">
        <v>4.0774306999999999</v>
      </c>
      <c r="O224" s="31">
        <v>1.26</v>
      </c>
      <c r="P224" s="31">
        <v>11.155056</v>
      </c>
      <c r="Q224" s="31">
        <v>34132166656</v>
      </c>
    </row>
    <row r="225" spans="1:17" x14ac:dyDescent="0.3">
      <c r="A225" s="1">
        <v>239</v>
      </c>
      <c r="B225" s="6" t="s">
        <v>566</v>
      </c>
      <c r="C225" s="6" t="s">
        <v>348</v>
      </c>
      <c r="D225" s="32">
        <v>2.792E-2</v>
      </c>
      <c r="E225" s="32">
        <v>0.29699999999999999</v>
      </c>
      <c r="F225" s="31">
        <v>38.9</v>
      </c>
      <c r="G225" s="31">
        <v>2.39</v>
      </c>
      <c r="H225" s="32">
        <v>4.335E-2</v>
      </c>
      <c r="I225" s="31">
        <v>180.941</v>
      </c>
      <c r="J225" s="32">
        <v>7.5990000000000002E-2</v>
      </c>
      <c r="K225" s="31" t="s">
        <v>567</v>
      </c>
      <c r="L225" s="31">
        <v>2.1360000000000001</v>
      </c>
      <c r="M225" s="31">
        <v>12.927</v>
      </c>
      <c r="N225" s="31">
        <v>6.1211650000000004</v>
      </c>
      <c r="O225" s="31">
        <v>0.4</v>
      </c>
      <c r="P225" s="31">
        <v>22.882352999999998</v>
      </c>
      <c r="Q225" s="31">
        <v>34820014080</v>
      </c>
    </row>
    <row r="226" spans="1:17" x14ac:dyDescent="0.3">
      <c r="A226" s="1">
        <v>240</v>
      </c>
      <c r="B226" s="6" t="s">
        <v>568</v>
      </c>
      <c r="C226" s="6" t="s">
        <v>51</v>
      </c>
      <c r="D226" s="32">
        <v>1.0704899999999999</v>
      </c>
      <c r="E226" s="32">
        <v>0.108</v>
      </c>
      <c r="F226" s="31">
        <v>57.42</v>
      </c>
      <c r="G226" s="31">
        <v>3.3530000000000002</v>
      </c>
      <c r="H226" s="32">
        <v>7.7030000000000001E-2</v>
      </c>
      <c r="I226" s="31">
        <v>85.034000000000006</v>
      </c>
      <c r="J226" s="32">
        <v>0.28445998</v>
      </c>
      <c r="K226" s="31" t="s">
        <v>569</v>
      </c>
      <c r="L226" s="31">
        <v>3.0110000000000001</v>
      </c>
      <c r="M226" s="31">
        <v>10.106</v>
      </c>
      <c r="N226" s="31">
        <v>3.3208025000000001</v>
      </c>
      <c r="O226" s="31">
        <v>1.31</v>
      </c>
      <c r="P226" s="31">
        <v>12.70354</v>
      </c>
      <c r="Q226" s="31">
        <v>35945148416</v>
      </c>
    </row>
    <row r="227" spans="1:17" x14ac:dyDescent="0.3">
      <c r="A227" s="29">
        <v>241</v>
      </c>
      <c r="B227" s="6" t="s">
        <v>571</v>
      </c>
      <c r="C227" s="6" t="s">
        <v>570</v>
      </c>
      <c r="D227" s="32">
        <v>0.23777999999999999</v>
      </c>
      <c r="E227" s="32">
        <v>0.08</v>
      </c>
      <c r="F227" s="31">
        <v>208</v>
      </c>
      <c r="G227" s="31">
        <v>0.50700000000000001</v>
      </c>
      <c r="H227" s="32">
        <v>8.9020009999999997E-2</v>
      </c>
      <c r="I227" s="31">
        <v>124.735</v>
      </c>
      <c r="J227" s="32">
        <v>0.27184999999999998</v>
      </c>
      <c r="K227" s="31" t="s">
        <v>572</v>
      </c>
      <c r="L227" s="31">
        <v>13.19</v>
      </c>
      <c r="M227" s="31">
        <v>29.448</v>
      </c>
      <c r="N227" s="31">
        <v>12.369172000000001</v>
      </c>
      <c r="O227" s="31">
        <v>4.32</v>
      </c>
      <c r="P227" s="31">
        <v>34.782608000000003</v>
      </c>
      <c r="Q227" s="31">
        <v>33521485824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36E6-89A6-49E9-B00A-FE070D98505F}">
  <dimension ref="A1:G83"/>
  <sheetViews>
    <sheetView zoomScale="62" workbookViewId="0">
      <selection activeCell="C17" sqref="C17"/>
    </sheetView>
  </sheetViews>
  <sheetFormatPr defaultRowHeight="14.4" x14ac:dyDescent="0.3"/>
  <cols>
    <col min="1" max="1" width="36.6640625" bestFit="1" customWidth="1"/>
    <col min="2" max="2" width="22.21875" bestFit="1" customWidth="1"/>
    <col min="3" max="3" width="25.21875" bestFit="1" customWidth="1"/>
    <col min="4" max="4" width="22.33203125" style="4" bestFit="1" customWidth="1"/>
    <col min="5" max="5" width="14.5546875" style="3" bestFit="1" customWidth="1"/>
    <col min="6" max="6" width="23.44140625" style="4" bestFit="1" customWidth="1"/>
    <col min="7" max="7" width="14.33203125" style="3" bestFit="1" customWidth="1"/>
  </cols>
  <sheetData>
    <row r="1" spans="1:7" ht="15" thickBot="1" x14ac:dyDescent="0.35">
      <c r="A1" s="24" t="s">
        <v>590</v>
      </c>
      <c r="B1" s="25" t="s">
        <v>592</v>
      </c>
      <c r="C1" s="25" t="s">
        <v>593</v>
      </c>
      <c r="D1" s="26" t="s">
        <v>594</v>
      </c>
      <c r="E1" s="27" t="s">
        <v>595</v>
      </c>
      <c r="F1" s="26" t="s">
        <v>596</v>
      </c>
      <c r="G1" s="28" t="s">
        <v>597</v>
      </c>
    </row>
    <row r="2" spans="1:7" x14ac:dyDescent="0.3">
      <c r="A2" s="19" t="s">
        <v>165</v>
      </c>
      <c r="B2" s="20">
        <v>8.6845711000000006E-2</v>
      </c>
      <c r="C2" s="20">
        <v>-5.5714285714285701E-3</v>
      </c>
      <c r="D2" s="21">
        <v>1.9000000000000001</v>
      </c>
      <c r="E2" s="22">
        <v>5.5819999142857138E-2</v>
      </c>
      <c r="F2" s="21">
        <v>56.095714285714287</v>
      </c>
      <c r="G2" s="23">
        <v>0.33201799800000004</v>
      </c>
    </row>
    <row r="3" spans="1:7" x14ac:dyDescent="0.3">
      <c r="A3" s="12" t="s">
        <v>458</v>
      </c>
      <c r="B3" s="11">
        <v>0.10668000599999999</v>
      </c>
      <c r="C3" s="11">
        <v>0.27300000000000002</v>
      </c>
      <c r="D3" s="8">
        <v>1.8120000000000001</v>
      </c>
      <c r="E3" s="9">
        <v>1.3890001000000001E-2</v>
      </c>
      <c r="F3" s="8">
        <v>9.9</v>
      </c>
      <c r="G3" s="13">
        <v>7.1609995999999995E-2</v>
      </c>
    </row>
    <row r="4" spans="1:7" x14ac:dyDescent="0.3">
      <c r="A4" s="12" t="s">
        <v>294</v>
      </c>
      <c r="B4" s="11">
        <v>5.8459999999999998E-2</v>
      </c>
      <c r="C4" s="11">
        <v>0.23899999999999999</v>
      </c>
      <c r="D4" s="8">
        <v>1.2869999999999999</v>
      </c>
      <c r="E4" s="9">
        <v>7.8009999999999996E-2</v>
      </c>
      <c r="F4" s="8">
        <v>198.94200000000001</v>
      </c>
      <c r="G4" s="13">
        <v>0.44425999999999999</v>
      </c>
    </row>
    <row r="5" spans="1:7" x14ac:dyDescent="0.3">
      <c r="A5" s="12" t="s">
        <v>213</v>
      </c>
      <c r="B5" s="11">
        <v>0.30562332333333336</v>
      </c>
      <c r="C5" s="11">
        <v>0.156</v>
      </c>
      <c r="D5" s="8">
        <v>2.0716666666666668</v>
      </c>
      <c r="E5" s="9">
        <v>8.1486663333333334E-2</v>
      </c>
      <c r="F5" s="8">
        <v>31.016666666666666</v>
      </c>
      <c r="G5" s="13">
        <v>0.32167000000000001</v>
      </c>
    </row>
    <row r="6" spans="1:7" x14ac:dyDescent="0.3">
      <c r="A6" s="12" t="s">
        <v>54</v>
      </c>
      <c r="B6" s="11">
        <v>9.4826665333333338E-2</v>
      </c>
      <c r="C6" s="11">
        <v>0.17033333333333334</v>
      </c>
      <c r="D6" s="8">
        <v>1.2296666666666667</v>
      </c>
      <c r="E6" s="9">
        <v>3.6796666666666665E-2</v>
      </c>
      <c r="F6" s="8">
        <v>163.52166666666665</v>
      </c>
      <c r="G6" s="13">
        <v>0.25986000999999997</v>
      </c>
    </row>
    <row r="7" spans="1:7" x14ac:dyDescent="0.3">
      <c r="A7" s="12" t="s">
        <v>93</v>
      </c>
      <c r="B7" s="11">
        <v>0.20896999666666669</v>
      </c>
      <c r="C7" s="11">
        <v>0.13633333333333333</v>
      </c>
      <c r="D7" s="8">
        <v>2.3876666666666666</v>
      </c>
      <c r="E7" s="9">
        <v>0.10935333466666668</v>
      </c>
      <c r="F7" s="8">
        <v>143.72033333333331</v>
      </c>
      <c r="G7" s="13">
        <v>0.41078666000000003</v>
      </c>
    </row>
    <row r="8" spans="1:7" x14ac:dyDescent="0.3">
      <c r="A8" s="12" t="s">
        <v>461</v>
      </c>
      <c r="B8" s="11">
        <v>-6.1000003000000001E-3</v>
      </c>
      <c r="C8" s="11">
        <v>-4.8000000000000001E-2</v>
      </c>
      <c r="D8" s="8">
        <v>1.502</v>
      </c>
      <c r="E8" s="9">
        <v>6.8760000000000002E-2</v>
      </c>
      <c r="F8" s="8">
        <v>90.09</v>
      </c>
      <c r="G8" s="13">
        <v>-1.1100000999999999E-3</v>
      </c>
    </row>
    <row r="9" spans="1:7" x14ac:dyDescent="0.3">
      <c r="A9" s="12" t="s">
        <v>289</v>
      </c>
      <c r="B9" s="11">
        <v>0.46816000666666668</v>
      </c>
      <c r="C9" s="11">
        <v>10.661333333333333</v>
      </c>
      <c r="D9" s="8">
        <v>3.1789999999999998</v>
      </c>
      <c r="E9" s="9">
        <v>0.25766333333333336</v>
      </c>
      <c r="F9" s="8">
        <v>9.7806666666666668</v>
      </c>
      <c r="G9" s="13">
        <v>0.62818334333333326</v>
      </c>
    </row>
    <row r="10" spans="1:7" x14ac:dyDescent="0.3">
      <c r="A10" s="12" t="s">
        <v>512</v>
      </c>
      <c r="B10" s="11">
        <v>8.0719990000000005E-2</v>
      </c>
      <c r="C10" s="11">
        <v>0.11700000000000001</v>
      </c>
      <c r="D10" s="8">
        <v>1.7210000000000001</v>
      </c>
      <c r="E10" s="9">
        <v>6.2609999999999999E-2</v>
      </c>
      <c r="F10" s="8">
        <v>145.94</v>
      </c>
      <c r="G10" s="13">
        <v>0.24882999</v>
      </c>
    </row>
    <row r="11" spans="1:7" x14ac:dyDescent="0.3">
      <c r="A11" s="12" t="s">
        <v>405</v>
      </c>
      <c r="B11" s="11">
        <v>0.11324999500000001</v>
      </c>
      <c r="C11" s="11">
        <v>0.52800000000000002</v>
      </c>
      <c r="D11" s="8">
        <v>1.5940000000000001</v>
      </c>
      <c r="E11" s="9">
        <v>7.3959999999999998E-2</v>
      </c>
      <c r="F11" s="8">
        <v>97.456999999999994</v>
      </c>
      <c r="G11" s="13">
        <v>0.39372003</v>
      </c>
    </row>
    <row r="12" spans="1:7" x14ac:dyDescent="0.3">
      <c r="A12" s="12" t="s">
        <v>105</v>
      </c>
      <c r="B12" s="11">
        <v>0.1895</v>
      </c>
      <c r="C12" s="11">
        <v>0.10450000000000001</v>
      </c>
      <c r="D12" s="8">
        <v>1.4995000000000001</v>
      </c>
      <c r="E12" s="9">
        <v>9.932000299999999E-2</v>
      </c>
      <c r="F12" s="8">
        <v>12.516</v>
      </c>
      <c r="G12" s="13">
        <v>0.28190001999999997</v>
      </c>
    </row>
    <row r="13" spans="1:7" x14ac:dyDescent="0.3">
      <c r="A13" s="12" t="s">
        <v>447</v>
      </c>
      <c r="B13" s="11">
        <v>0.19272</v>
      </c>
      <c r="C13" s="11">
        <v>0.16499999999999998</v>
      </c>
      <c r="D13" s="8">
        <v>2.9130000000000003</v>
      </c>
      <c r="E13" s="9">
        <v>0.10383499800000001</v>
      </c>
      <c r="F13" s="8">
        <v>0.79700000000000004</v>
      </c>
      <c r="G13" s="13">
        <v>0.22579001000000001</v>
      </c>
    </row>
    <row r="14" spans="1:7" x14ac:dyDescent="0.3">
      <c r="A14" s="12" t="s">
        <v>257</v>
      </c>
      <c r="B14" s="11">
        <v>0.160855</v>
      </c>
      <c r="C14" s="11">
        <v>7.1000000000000008E-2</v>
      </c>
      <c r="D14" s="8">
        <v>0.81699999999999995</v>
      </c>
      <c r="E14" s="9">
        <v>8.9150006000000004E-2</v>
      </c>
      <c r="F14" s="8">
        <v>134.4075</v>
      </c>
      <c r="G14" s="13">
        <v>0.37841499999999995</v>
      </c>
    </row>
    <row r="15" spans="1:7" x14ac:dyDescent="0.3">
      <c r="A15" s="12" t="s">
        <v>187</v>
      </c>
      <c r="B15" s="11">
        <v>0.16283</v>
      </c>
      <c r="C15" s="11">
        <v>7.8999999999999987E-2</v>
      </c>
      <c r="D15" s="8">
        <v>1.4965000000000002</v>
      </c>
      <c r="E15" s="9">
        <v>9.1655002499999999E-2</v>
      </c>
      <c r="F15" s="8">
        <v>126.82900000000001</v>
      </c>
      <c r="G15" s="13">
        <v>0.37621999</v>
      </c>
    </row>
    <row r="16" spans="1:7" x14ac:dyDescent="0.3">
      <c r="A16" s="12" t="s">
        <v>570</v>
      </c>
      <c r="B16" s="11">
        <v>0.23777999999999999</v>
      </c>
      <c r="C16" s="11">
        <v>0.08</v>
      </c>
      <c r="D16" s="8">
        <v>0.50700000000000001</v>
      </c>
      <c r="E16" s="9">
        <v>8.9020009999999997E-2</v>
      </c>
      <c r="F16" s="8">
        <v>124.735</v>
      </c>
      <c r="G16" s="13">
        <v>0.27184999999999998</v>
      </c>
    </row>
    <row r="17" spans="1:7" x14ac:dyDescent="0.3">
      <c r="A17" s="12" t="s">
        <v>39</v>
      </c>
      <c r="B17" s="11">
        <v>0.26579002000000002</v>
      </c>
      <c r="C17" s="11">
        <v>0.112</v>
      </c>
      <c r="D17" s="8">
        <v>1.038</v>
      </c>
      <c r="E17" s="9">
        <v>0.19875000000000001</v>
      </c>
      <c r="F17" s="8">
        <v>170.714</v>
      </c>
      <c r="G17" s="13">
        <v>1.45567</v>
      </c>
    </row>
    <row r="18" spans="1:7" x14ac:dyDescent="0.3">
      <c r="A18" s="12" t="s">
        <v>282</v>
      </c>
      <c r="B18" s="11">
        <v>0.18848999999999999</v>
      </c>
      <c r="C18" s="11">
        <v>0.371</v>
      </c>
      <c r="D18" s="8">
        <v>2.5169999999999999</v>
      </c>
      <c r="E18" s="9">
        <v>0.11497</v>
      </c>
      <c r="F18" s="8">
        <v>42.439</v>
      </c>
      <c r="G18" s="13">
        <v>0.25739000000000001</v>
      </c>
    </row>
    <row r="19" spans="1:7" x14ac:dyDescent="0.3">
      <c r="A19" s="12" t="s">
        <v>65</v>
      </c>
      <c r="B19" s="11">
        <v>0.39226666333333338</v>
      </c>
      <c r="C19" s="11">
        <v>0.21299999999999999</v>
      </c>
      <c r="D19" s="8">
        <v>1.327</v>
      </c>
      <c r="E19" s="9">
        <v>0.11619666766666666</v>
      </c>
      <c r="F19" s="8">
        <v>99.888333333333321</v>
      </c>
      <c r="G19" s="13">
        <v>0.61539335666666661</v>
      </c>
    </row>
    <row r="20" spans="1:7" x14ac:dyDescent="0.3">
      <c r="A20" s="12" t="s">
        <v>108</v>
      </c>
      <c r="B20" s="11">
        <v>0.18452167</v>
      </c>
      <c r="C20" s="11">
        <v>0.17683333333333331</v>
      </c>
      <c r="D20" s="8">
        <v>1.6713333333333333</v>
      </c>
      <c r="E20" s="9">
        <v>9.1146667000000001E-2</v>
      </c>
      <c r="F20" s="8">
        <v>96.502166666666668</v>
      </c>
      <c r="G20" s="13">
        <v>0.32766498833333335</v>
      </c>
    </row>
    <row r="21" spans="1:7" x14ac:dyDescent="0.3">
      <c r="A21" s="12" t="s">
        <v>71</v>
      </c>
      <c r="B21" s="11">
        <v>4.7955999999999999E-2</v>
      </c>
      <c r="C21" s="11">
        <v>7.6399999999999996E-2</v>
      </c>
      <c r="D21" s="8">
        <v>1.0478000000000001</v>
      </c>
      <c r="E21" s="9">
        <v>7.6300002000000006E-2</v>
      </c>
      <c r="F21" s="8">
        <v>118.09080000000002</v>
      </c>
      <c r="G21" s="13">
        <v>0.30520200399999997</v>
      </c>
    </row>
    <row r="22" spans="1:7" x14ac:dyDescent="0.3">
      <c r="A22" s="12" t="s">
        <v>68</v>
      </c>
      <c r="B22" s="11">
        <v>0.21304124999999996</v>
      </c>
      <c r="C22" s="11">
        <v>0.270125</v>
      </c>
      <c r="D22" s="8">
        <v>1.4105714285714286</v>
      </c>
      <c r="E22" s="9">
        <v>9.5184285714285721E-2</v>
      </c>
      <c r="F22" s="8">
        <v>212.02399999999994</v>
      </c>
      <c r="G22" s="13">
        <v>0.47294625624999997</v>
      </c>
    </row>
    <row r="23" spans="1:7" x14ac:dyDescent="0.3">
      <c r="A23" s="12" t="s">
        <v>248</v>
      </c>
      <c r="B23" s="11">
        <v>0.26196000000000003</v>
      </c>
      <c r="C23" s="11">
        <v>8.8999999999999996E-2</v>
      </c>
      <c r="D23" s="8">
        <v>3.8559999999999999</v>
      </c>
      <c r="E23" s="9">
        <v>0.12773000000000001</v>
      </c>
      <c r="F23" s="8">
        <v>149.47200000000001</v>
      </c>
      <c r="G23" s="13">
        <v>0.48911998000000001</v>
      </c>
    </row>
    <row r="24" spans="1:7" x14ac:dyDescent="0.3">
      <c r="A24" s="12" t="s">
        <v>428</v>
      </c>
      <c r="B24" s="11">
        <v>0.15349000499999998</v>
      </c>
      <c r="C24" s="11">
        <v>0.16600000000000001</v>
      </c>
      <c r="D24" s="8">
        <v>2.0649999999999999</v>
      </c>
      <c r="E24" s="9">
        <v>9.2054997999999999E-2</v>
      </c>
      <c r="F24" s="8">
        <v>57.782499999999999</v>
      </c>
      <c r="G24" s="13">
        <v>0.24948999999999999</v>
      </c>
    </row>
    <row r="25" spans="1:7" x14ac:dyDescent="0.3">
      <c r="A25" s="12" t="s">
        <v>332</v>
      </c>
      <c r="B25" s="11">
        <v>0.20740999700000001</v>
      </c>
      <c r="C25" s="11">
        <v>0.32250000000000001</v>
      </c>
      <c r="D25" s="8">
        <v>3.4379999999999997</v>
      </c>
      <c r="E25" s="9">
        <v>7.3480000000000004E-2</v>
      </c>
      <c r="F25" s="8">
        <v>24.61</v>
      </c>
      <c r="G25" s="13">
        <v>0.133660005</v>
      </c>
    </row>
    <row r="26" spans="1:7" x14ac:dyDescent="0.3">
      <c r="A26" s="12" t="s">
        <v>413</v>
      </c>
      <c r="B26" s="11">
        <v>6.9169999999999995E-2</v>
      </c>
      <c r="C26" s="11">
        <v>7.3999999999999996E-2</v>
      </c>
      <c r="D26" s="8">
        <v>1.099</v>
      </c>
      <c r="E26" s="9">
        <v>5.0250000000000003E-2</v>
      </c>
      <c r="F26" s="8">
        <v>48.6</v>
      </c>
      <c r="G26" s="13">
        <v>9.3649999999999997E-2</v>
      </c>
    </row>
    <row r="27" spans="1:7" x14ac:dyDescent="0.3">
      <c r="A27" s="12" t="s">
        <v>98</v>
      </c>
      <c r="B27" s="11">
        <v>0.10431499775</v>
      </c>
      <c r="C27" s="11">
        <v>0.17549999999999999</v>
      </c>
      <c r="D27" s="8">
        <v>0.89124999999999999</v>
      </c>
      <c r="E27" s="9">
        <v>5.0625000125E-2</v>
      </c>
      <c r="F27" s="8">
        <v>174.17824999999999</v>
      </c>
      <c r="G27" s="13">
        <v>0.18733000275</v>
      </c>
    </row>
    <row r="28" spans="1:7" x14ac:dyDescent="0.3">
      <c r="A28" s="12" t="s">
        <v>192</v>
      </c>
      <c r="B28" s="11">
        <v>0.13148500000000002</v>
      </c>
      <c r="C28" s="11">
        <v>0.19400000000000001</v>
      </c>
      <c r="D28" s="8">
        <v>1.8240000000000001</v>
      </c>
      <c r="E28" s="9">
        <v>5.8454999999999993E-2</v>
      </c>
      <c r="F28" s="8">
        <v>246.83299999999997</v>
      </c>
      <c r="G28" s="13">
        <v>0.39367998999999998</v>
      </c>
    </row>
    <row r="29" spans="1:7" x14ac:dyDescent="0.3">
      <c r="A29" s="12" t="s">
        <v>378</v>
      </c>
      <c r="B29" s="11">
        <v>3.2620000000000003E-2</v>
      </c>
      <c r="C29" s="11">
        <v>0.34499999999999997</v>
      </c>
      <c r="D29" s="8">
        <v>1.577</v>
      </c>
      <c r="E29" s="9">
        <v>3.5479999999999998E-2</v>
      </c>
      <c r="F29" s="8">
        <v>44.843000000000004</v>
      </c>
      <c r="G29" s="13">
        <v>0.12636</v>
      </c>
    </row>
    <row r="30" spans="1:7" x14ac:dyDescent="0.3">
      <c r="A30" s="12" t="s">
        <v>179</v>
      </c>
      <c r="B30" s="11">
        <v>0.40717199600000004</v>
      </c>
      <c r="C30" s="11">
        <v>0.15279999999999999</v>
      </c>
      <c r="D30" s="8">
        <v>1.5326</v>
      </c>
      <c r="E30" s="9">
        <v>0.10174799999999999</v>
      </c>
      <c r="F30" s="8">
        <v>95.873400000000004</v>
      </c>
      <c r="G30" s="13">
        <v>0.48719750249999999</v>
      </c>
    </row>
    <row r="31" spans="1:7" x14ac:dyDescent="0.3">
      <c r="A31" s="12" t="s">
        <v>471</v>
      </c>
      <c r="B31" s="11">
        <v>1.2930000000000001E-2</v>
      </c>
      <c r="C31" s="11">
        <v>0.41199999999999998</v>
      </c>
      <c r="D31" s="8">
        <v>1.325</v>
      </c>
      <c r="E31" s="9">
        <v>5.8349999999999999E-2</v>
      </c>
      <c r="F31" s="8">
        <v>944.60599999999999</v>
      </c>
      <c r="G31" s="13">
        <v>0.57828999999999997</v>
      </c>
    </row>
    <row r="32" spans="1:7" x14ac:dyDescent="0.3">
      <c r="A32" s="12" t="s">
        <v>129</v>
      </c>
      <c r="B32" s="11">
        <v>0.13322000000000001</v>
      </c>
      <c r="C32" s="11">
        <v>0.01</v>
      </c>
      <c r="D32" s="8">
        <v>3.0680000000000001</v>
      </c>
      <c r="E32" s="9">
        <v>0.12352</v>
      </c>
      <c r="F32" s="8">
        <v>85.251999999999995</v>
      </c>
      <c r="G32" s="13">
        <v>0.48263</v>
      </c>
    </row>
    <row r="33" spans="1:7" x14ac:dyDescent="0.3">
      <c r="A33" s="12" t="s">
        <v>335</v>
      </c>
      <c r="B33" s="11">
        <v>0.16670999</v>
      </c>
      <c r="C33" s="11">
        <v>-8.6999999999999994E-2</v>
      </c>
      <c r="D33" s="8">
        <v>2.67</v>
      </c>
      <c r="E33" s="9">
        <v>5.7789996000000003E-2</v>
      </c>
      <c r="F33" s="8">
        <v>26.806000000000001</v>
      </c>
      <c r="G33" s="13">
        <v>7.2529999999999997E-2</v>
      </c>
    </row>
    <row r="34" spans="1:7" x14ac:dyDescent="0.3">
      <c r="A34" s="12" t="s">
        <v>474</v>
      </c>
      <c r="B34" s="11">
        <v>7.4699995999999999E-3</v>
      </c>
      <c r="C34" s="11">
        <v>7.1999999999999995E-2</v>
      </c>
      <c r="D34" s="8">
        <v>0.79700000000000004</v>
      </c>
      <c r="E34" s="9">
        <v>3.3570003000000001E-2</v>
      </c>
      <c r="F34" s="8">
        <v>218.16499999999999</v>
      </c>
      <c r="G34" s="13">
        <v>0.10453</v>
      </c>
    </row>
    <row r="35" spans="1:7" x14ac:dyDescent="0.3">
      <c r="A35" s="12" t="s">
        <v>62</v>
      </c>
      <c r="B35" s="11">
        <v>3.6041667333333326E-2</v>
      </c>
      <c r="C35" s="11">
        <v>0.11366666666666668</v>
      </c>
      <c r="D35" s="8">
        <v>1.1100000000000001</v>
      </c>
      <c r="E35" s="9">
        <v>4.6496666166666666E-2</v>
      </c>
      <c r="F35" s="8">
        <v>78.132333333333335</v>
      </c>
      <c r="G35" s="13">
        <v>0.14621000233333331</v>
      </c>
    </row>
    <row r="36" spans="1:7" x14ac:dyDescent="0.3">
      <c r="A36" s="12" t="s">
        <v>82</v>
      </c>
      <c r="B36" s="11">
        <v>9.7080004999999997E-2</v>
      </c>
      <c r="C36" s="11">
        <v>6.25E-2</v>
      </c>
      <c r="D36" s="8">
        <v>1.1625000000000001</v>
      </c>
      <c r="E36" s="9">
        <v>0.18337500000000001</v>
      </c>
      <c r="F36" s="8">
        <v>2186.7150000000001</v>
      </c>
      <c r="G36" s="13">
        <v>9.4907002499999997</v>
      </c>
    </row>
    <row r="37" spans="1:7" x14ac:dyDescent="0.3">
      <c r="A37" s="12" t="s">
        <v>74</v>
      </c>
      <c r="B37" s="11">
        <v>0.14528250400000001</v>
      </c>
      <c r="C37" s="11">
        <v>8.475000000000002E-2</v>
      </c>
      <c r="D37" s="8">
        <v>1.0912500000000001</v>
      </c>
      <c r="E37" s="9">
        <v>0.113515</v>
      </c>
      <c r="F37" s="8">
        <v>560.26625000000001</v>
      </c>
      <c r="G37" s="13">
        <v>1.3491249999999999</v>
      </c>
    </row>
    <row r="38" spans="1:7" x14ac:dyDescent="0.3">
      <c r="A38" s="12" t="s">
        <v>113</v>
      </c>
      <c r="B38" s="11">
        <v>8.1440000400000018E-2</v>
      </c>
      <c r="C38" s="11">
        <v>0.12479999999999999</v>
      </c>
      <c r="D38" s="8">
        <v>1.1856</v>
      </c>
      <c r="E38" s="9">
        <v>5.8694001199999998E-2</v>
      </c>
      <c r="F38" s="8">
        <v>80.509399999999999</v>
      </c>
      <c r="G38" s="13">
        <v>0.15423999999999999</v>
      </c>
    </row>
    <row r="39" spans="1:7" x14ac:dyDescent="0.3">
      <c r="A39" s="12" t="s">
        <v>264</v>
      </c>
      <c r="B39" s="11">
        <v>0.11870000133333335</v>
      </c>
      <c r="C39" s="11">
        <v>0.1536666666666667</v>
      </c>
      <c r="D39" s="8">
        <v>1.2033333333333334</v>
      </c>
      <c r="E39" s="9">
        <v>5.4233333333333335E-2</v>
      </c>
      <c r="F39" s="8">
        <v>199.41466666666668</v>
      </c>
      <c r="G39" s="13">
        <v>0.25839666666666666</v>
      </c>
    </row>
    <row r="40" spans="1:7" x14ac:dyDescent="0.3">
      <c r="A40" s="12" t="s">
        <v>375</v>
      </c>
      <c r="B40" s="11">
        <v>0.11803999499999999</v>
      </c>
      <c r="C40" s="11">
        <v>0.30199999999999999</v>
      </c>
      <c r="D40" s="8">
        <v>0.74299999999999999</v>
      </c>
      <c r="E40" s="9">
        <v>8.4100000000000008E-3</v>
      </c>
      <c r="F40" s="8">
        <v>48.051000000000002</v>
      </c>
      <c r="G40" s="13">
        <v>8.906E-2</v>
      </c>
    </row>
    <row r="41" spans="1:7" x14ac:dyDescent="0.3">
      <c r="A41" s="12" t="s">
        <v>357</v>
      </c>
      <c r="B41" s="11">
        <v>0.13010667000000001</v>
      </c>
      <c r="C41" s="11">
        <v>-4.3333333333333335E-2</v>
      </c>
      <c r="D41" s="8">
        <v>0.97266666666666668</v>
      </c>
      <c r="E41" s="9">
        <v>1.1779999999999999E-2</v>
      </c>
      <c r="F41" s="8">
        <v>81.62866666666666</v>
      </c>
      <c r="G41" s="13">
        <v>0.10791000133333332</v>
      </c>
    </row>
    <row r="42" spans="1:7" x14ac:dyDescent="0.3">
      <c r="A42" s="12" t="s">
        <v>245</v>
      </c>
      <c r="B42" s="11">
        <v>0.10666250150000001</v>
      </c>
      <c r="C42" s="11">
        <v>0.12125000000000001</v>
      </c>
      <c r="D42" s="8">
        <v>0.36975000000000002</v>
      </c>
      <c r="E42" s="9">
        <v>3.255500075E-2</v>
      </c>
      <c r="F42" s="8">
        <v>29.932749999999999</v>
      </c>
      <c r="G42" s="13">
        <v>0.16450249750000001</v>
      </c>
    </row>
    <row r="43" spans="1:7" x14ac:dyDescent="0.3">
      <c r="A43" s="12" t="s">
        <v>138</v>
      </c>
      <c r="B43" s="11">
        <v>6.1605000000000007E-2</v>
      </c>
      <c r="C43" s="11">
        <v>0.11699999999999999</v>
      </c>
      <c r="D43" s="8">
        <v>1.4849999999999999</v>
      </c>
      <c r="E43" s="9">
        <v>6.8404999999999994E-2</v>
      </c>
      <c r="F43" s="8">
        <v>180.0265</v>
      </c>
      <c r="G43" s="13">
        <v>0.472089975</v>
      </c>
    </row>
    <row r="44" spans="1:7" x14ac:dyDescent="0.3">
      <c r="A44" s="12" t="s">
        <v>47</v>
      </c>
      <c r="B44" s="11">
        <v>0.30802665999999995</v>
      </c>
      <c r="C44" s="11">
        <v>0.28233333333333333</v>
      </c>
      <c r="D44" s="8">
        <v>3.0033333333333334</v>
      </c>
      <c r="E44" s="9">
        <v>0.15650333666666669</v>
      </c>
      <c r="F44" s="8">
        <v>11.410666666666666</v>
      </c>
      <c r="G44" s="13">
        <v>0.31746666666666662</v>
      </c>
    </row>
    <row r="45" spans="1:7" x14ac:dyDescent="0.3">
      <c r="A45" s="12" t="s">
        <v>51</v>
      </c>
      <c r="B45" s="11">
        <v>0.57074999999999998</v>
      </c>
      <c r="C45" s="11">
        <v>0.10100000000000001</v>
      </c>
      <c r="D45" s="8">
        <v>2.2444999999999999</v>
      </c>
      <c r="E45" s="9">
        <v>5.9479999000000006E-2</v>
      </c>
      <c r="F45" s="8">
        <v>92.949000000000012</v>
      </c>
      <c r="G45" s="13">
        <v>0.28625999000000002</v>
      </c>
    </row>
    <row r="46" spans="1:7" x14ac:dyDescent="0.3">
      <c r="A46" s="12" t="s">
        <v>360</v>
      </c>
      <c r="B46" s="11">
        <v>9.1394995000000007E-2</v>
      </c>
      <c r="C46" s="11">
        <v>1.036</v>
      </c>
      <c r="D46" s="8">
        <v>0.76200000000000001</v>
      </c>
      <c r="E46" s="9">
        <v>3.2390000000000002E-2</v>
      </c>
      <c r="F46" s="8">
        <v>581.97149999999999</v>
      </c>
      <c r="G46" s="13">
        <v>0.81430000000000002</v>
      </c>
    </row>
    <row r="47" spans="1:7" x14ac:dyDescent="0.3">
      <c r="A47" s="12" t="s">
        <v>269</v>
      </c>
      <c r="B47" s="11">
        <v>0.11328000000000001</v>
      </c>
      <c r="C47" s="11">
        <v>0.14799999999999999</v>
      </c>
      <c r="D47" s="8">
        <v>1.377</v>
      </c>
      <c r="E47" s="9">
        <v>0.12033000000000001</v>
      </c>
      <c r="F47" s="8">
        <v>1866.3009999999999</v>
      </c>
      <c r="G47" s="13">
        <v>4.7439200000000001</v>
      </c>
    </row>
    <row r="48" spans="1:7" x14ac:dyDescent="0.3">
      <c r="A48" s="12" t="s">
        <v>126</v>
      </c>
      <c r="B48" s="11">
        <v>0.17781714214285715</v>
      </c>
      <c r="C48" s="11">
        <v>0.16085714285714284</v>
      </c>
      <c r="D48" s="8">
        <v>2.5379999999999998</v>
      </c>
      <c r="E48" s="9">
        <v>7.492714242857143E-2</v>
      </c>
      <c r="F48" s="8">
        <v>50.663714285714285</v>
      </c>
      <c r="G48" s="13">
        <v>0.18974000000000002</v>
      </c>
    </row>
    <row r="49" spans="1:7" x14ac:dyDescent="0.3">
      <c r="A49" s="12" t="s">
        <v>418</v>
      </c>
      <c r="B49" s="11">
        <v>5.4900004000000002E-3</v>
      </c>
      <c r="C49" s="11">
        <v>9.6000000000000002E-2</v>
      </c>
      <c r="D49" s="8">
        <v>0.98</v>
      </c>
      <c r="E49" s="9">
        <v>2.6859999999999998E-2</v>
      </c>
      <c r="F49" s="8">
        <v>0</v>
      </c>
      <c r="G49" s="13">
        <v>14.01754</v>
      </c>
    </row>
    <row r="50" spans="1:7" x14ac:dyDescent="0.3">
      <c r="A50" s="12" t="s">
        <v>226</v>
      </c>
      <c r="B50" s="11">
        <v>0.16214249875</v>
      </c>
      <c r="C50" s="11">
        <v>0.13175000000000001</v>
      </c>
      <c r="D50" s="8">
        <v>2.8327499999999999</v>
      </c>
      <c r="E50" s="9">
        <v>8.047999950000001E-2</v>
      </c>
      <c r="F50" s="8">
        <v>45.386000000000003</v>
      </c>
      <c r="G50" s="13">
        <v>0.140782501</v>
      </c>
    </row>
    <row r="51" spans="1:7" x14ac:dyDescent="0.3">
      <c r="A51" s="12" t="s">
        <v>182</v>
      </c>
      <c r="B51" s="11">
        <v>0.11456799980000001</v>
      </c>
      <c r="C51" s="11">
        <v>1.5185999999999999</v>
      </c>
      <c r="D51" s="8">
        <v>1.4501999999999999</v>
      </c>
      <c r="E51" s="9">
        <v>9.155399979999998E-2</v>
      </c>
      <c r="F51" s="8">
        <v>71.088200000000001</v>
      </c>
      <c r="G51" s="13">
        <v>0.13806800200000002</v>
      </c>
    </row>
    <row r="52" spans="1:7" x14ac:dyDescent="0.3">
      <c r="A52" s="12" t="s">
        <v>348</v>
      </c>
      <c r="B52" s="11">
        <v>3.8926667999999998E-2</v>
      </c>
      <c r="C52" s="11">
        <v>0.14366666666666666</v>
      </c>
      <c r="D52" s="8">
        <v>1.7346666666666668</v>
      </c>
      <c r="E52" s="9">
        <v>3.8259999999999995E-2</v>
      </c>
      <c r="F52" s="8">
        <v>106.27766666666666</v>
      </c>
      <c r="G52" s="13">
        <v>7.715000000000001E-2</v>
      </c>
    </row>
    <row r="53" spans="1:7" x14ac:dyDescent="0.3">
      <c r="A53" s="12" t="s">
        <v>77</v>
      </c>
      <c r="B53" s="11">
        <v>9.1500004999999995E-2</v>
      </c>
      <c r="C53" s="11">
        <v>0.82000000000000006</v>
      </c>
      <c r="D53" s="8">
        <v>1.044</v>
      </c>
      <c r="E53" s="9">
        <v>4.9840003000000001E-2</v>
      </c>
      <c r="F53" s="8">
        <v>28.75</v>
      </c>
      <c r="G53" s="13">
        <v>0.127670002</v>
      </c>
    </row>
    <row r="54" spans="1:7" x14ac:dyDescent="0.3">
      <c r="A54" s="12" t="s">
        <v>479</v>
      </c>
      <c r="B54" s="11">
        <v>0.10838500000000001</v>
      </c>
      <c r="C54" s="11">
        <v>0.39500000000000002</v>
      </c>
      <c r="D54" s="8">
        <v>0.52249999999999996</v>
      </c>
      <c r="E54" s="9">
        <v>3.6405001000000006E-2</v>
      </c>
      <c r="F54" s="8">
        <v>132.209</v>
      </c>
      <c r="G54" s="13">
        <v>6.5054998500000003E-2</v>
      </c>
    </row>
    <row r="55" spans="1:7" x14ac:dyDescent="0.3">
      <c r="A55" s="12" t="s">
        <v>425</v>
      </c>
      <c r="B55" s="11">
        <v>3.3746666666666668E-2</v>
      </c>
      <c r="C55" s="11">
        <v>1.0683333333333334</v>
      </c>
      <c r="D55" s="8">
        <v>1.202</v>
      </c>
      <c r="E55" s="9">
        <v>1.6324999999999999E-2</v>
      </c>
      <c r="F55" s="8">
        <v>76.00233333333334</v>
      </c>
      <c r="G55" s="13">
        <v>7.2096668333333336E-2</v>
      </c>
    </row>
    <row r="56" spans="1:7" x14ac:dyDescent="0.3">
      <c r="A56" s="12" t="s">
        <v>402</v>
      </c>
      <c r="B56" s="11">
        <v>0.10389000500000001</v>
      </c>
      <c r="C56" s="11">
        <v>2.35E-2</v>
      </c>
      <c r="D56" s="8">
        <v>0.98799999999999999</v>
      </c>
      <c r="E56" s="9">
        <v>5.1325000000000003E-2</v>
      </c>
      <c r="F56" s="8">
        <v>85.083500000000001</v>
      </c>
      <c r="G56" s="13">
        <v>0.13684499999999999</v>
      </c>
    </row>
    <row r="57" spans="1:7" x14ac:dyDescent="0.3">
      <c r="A57" s="12" t="s">
        <v>491</v>
      </c>
      <c r="B57" s="11">
        <v>4.7640000000000002E-2</v>
      </c>
      <c r="C57" s="11">
        <v>7.8E-2</v>
      </c>
      <c r="D57" s="8">
        <v>0.83099999999999996</v>
      </c>
      <c r="E57" s="9">
        <v>2.649E-2</v>
      </c>
      <c r="F57" s="8">
        <v>117.569</v>
      </c>
      <c r="G57" s="13">
        <v>0.21708</v>
      </c>
    </row>
    <row r="58" spans="1:7" x14ac:dyDescent="0.3">
      <c r="A58" s="12" t="s">
        <v>146</v>
      </c>
      <c r="B58" s="11">
        <v>0.29006333333333334</v>
      </c>
      <c r="C58" s="11">
        <v>0.16533333333333333</v>
      </c>
      <c r="D58" s="8">
        <v>1.155</v>
      </c>
      <c r="E58" s="9">
        <v>8.1653329666666663E-2</v>
      </c>
      <c r="F58" s="8">
        <v>151.30633333333336</v>
      </c>
      <c r="G58" s="13">
        <v>0.30002334000000003</v>
      </c>
    </row>
    <row r="59" spans="1:7" x14ac:dyDescent="0.3">
      <c r="A59" s="12" t="s">
        <v>466</v>
      </c>
      <c r="B59" s="11">
        <v>9.6860000000000002E-2</v>
      </c>
      <c r="C59" s="11">
        <v>0.19600000000000001</v>
      </c>
      <c r="D59" s="8">
        <v>1.694</v>
      </c>
      <c r="E59" s="9">
        <v>1.3569999500000001E-2</v>
      </c>
      <c r="F59" s="8">
        <v>78.370999999999995</v>
      </c>
      <c r="G59" s="13">
        <v>2.614E-2</v>
      </c>
    </row>
    <row r="60" spans="1:7" x14ac:dyDescent="0.3">
      <c r="A60" s="12" t="s">
        <v>210</v>
      </c>
      <c r="B60" s="11">
        <v>0.454235</v>
      </c>
      <c r="C60" s="11">
        <v>0.16500000000000001</v>
      </c>
      <c r="D60" s="8">
        <v>1.4615</v>
      </c>
      <c r="E60" s="9">
        <v>4.9790000000000001E-2</v>
      </c>
      <c r="F60" s="8">
        <v>55.820499999999996</v>
      </c>
      <c r="G60" s="13">
        <v>0.12606500000000001</v>
      </c>
    </row>
    <row r="61" spans="1:7" x14ac:dyDescent="0.3">
      <c r="A61" s="12" t="s">
        <v>519</v>
      </c>
      <c r="B61" s="11">
        <v>0.38617000000000001</v>
      </c>
      <c r="C61" s="11">
        <v>8.9999999999999993E-3</v>
      </c>
      <c r="D61" s="8">
        <v>0.63100000000000001</v>
      </c>
      <c r="E61" s="9">
        <v>1.308E-2</v>
      </c>
      <c r="F61" s="8">
        <v>81.942999999999998</v>
      </c>
      <c r="G61" s="13">
        <v>9.4420000000000004E-2</v>
      </c>
    </row>
    <row r="62" spans="1:7" x14ac:dyDescent="0.3">
      <c r="A62" s="12" t="s">
        <v>559</v>
      </c>
      <c r="B62" s="11">
        <v>0.44369999999999998</v>
      </c>
      <c r="C62" s="11">
        <v>2.5999999999999999E-2</v>
      </c>
      <c r="D62" s="8">
        <v>1.0449999999999999</v>
      </c>
      <c r="E62" s="9">
        <v>1.983E-2</v>
      </c>
      <c r="F62" s="8">
        <v>73.709000000000003</v>
      </c>
      <c r="G62" s="13">
        <v>9.4130000000000005E-2</v>
      </c>
    </row>
    <row r="63" spans="1:7" x14ac:dyDescent="0.3">
      <c r="A63" s="12" t="s">
        <v>452</v>
      </c>
      <c r="B63" s="11">
        <v>0.29133999499999996</v>
      </c>
      <c r="C63" s="11">
        <v>0.43149999999999999</v>
      </c>
      <c r="D63" s="8">
        <v>0.41100000000000003</v>
      </c>
      <c r="E63" s="9">
        <v>3.1074999999999998E-2</v>
      </c>
      <c r="F63" s="8">
        <v>325.38600000000002</v>
      </c>
      <c r="G63" s="13">
        <v>0.3579899755</v>
      </c>
    </row>
    <row r="64" spans="1:7" x14ac:dyDescent="0.3">
      <c r="A64" s="12" t="s">
        <v>218</v>
      </c>
      <c r="B64" s="11">
        <v>0.16090750249999999</v>
      </c>
      <c r="C64" s="11">
        <v>0.14150000000000001</v>
      </c>
      <c r="D64" s="8">
        <v>0.92549999999999988</v>
      </c>
      <c r="E64" s="9">
        <v>3.8689999999999995E-2</v>
      </c>
      <c r="F64" s="8">
        <v>226.1405</v>
      </c>
      <c r="G64" s="13">
        <v>0.17198999999999998</v>
      </c>
    </row>
    <row r="65" spans="1:7" x14ac:dyDescent="0.3">
      <c r="A65" s="12" t="s">
        <v>141</v>
      </c>
      <c r="B65" s="11">
        <v>0.19883250750000001</v>
      </c>
      <c r="C65" s="11">
        <v>0.157</v>
      </c>
      <c r="D65" s="8">
        <v>1.3137500000000002</v>
      </c>
      <c r="E65" s="9">
        <v>0.13219250124999998</v>
      </c>
      <c r="F65" s="8">
        <v>38.308</v>
      </c>
      <c r="G65" s="13">
        <v>0.30247997999999998</v>
      </c>
    </row>
    <row r="66" spans="1:7" x14ac:dyDescent="0.3">
      <c r="A66" s="12" t="s">
        <v>197</v>
      </c>
      <c r="B66" s="11">
        <v>0.29708666666666667</v>
      </c>
      <c r="C66" s="11">
        <v>0.33833333333333337</v>
      </c>
      <c r="D66" s="8">
        <v>2.7476666666666669</v>
      </c>
      <c r="E66" s="9">
        <v>0.18592000333333333</v>
      </c>
      <c r="F66" s="8">
        <v>74.865666666666669</v>
      </c>
      <c r="G66" s="13">
        <v>0.69937335000000012</v>
      </c>
    </row>
    <row r="67" spans="1:7" x14ac:dyDescent="0.3">
      <c r="A67" s="12" t="s">
        <v>57</v>
      </c>
      <c r="B67" s="11">
        <v>0.24659300000000001</v>
      </c>
      <c r="C67" s="11">
        <v>0.30759999999999998</v>
      </c>
      <c r="D67" s="8">
        <v>2.9108000000000001</v>
      </c>
      <c r="E67" s="9">
        <v>0.1215560017</v>
      </c>
      <c r="F67" s="8">
        <v>77.073399999999992</v>
      </c>
      <c r="G67" s="13">
        <v>0.37541199820000004</v>
      </c>
    </row>
    <row r="68" spans="1:7" x14ac:dyDescent="0.3">
      <c r="A68" s="12" t="s">
        <v>119</v>
      </c>
      <c r="B68" s="11">
        <v>0.17165200400000002</v>
      </c>
      <c r="C68" s="11">
        <v>0.28060000000000002</v>
      </c>
      <c r="D68" s="8">
        <v>1.3602000000000001</v>
      </c>
      <c r="E68" s="9">
        <v>6.5944000000000003E-2</v>
      </c>
      <c r="F68" s="8">
        <v>73.073599999999999</v>
      </c>
      <c r="G68" s="13">
        <v>0.52347798119999989</v>
      </c>
    </row>
    <row r="69" spans="1:7" x14ac:dyDescent="0.3">
      <c r="A69" s="12" t="s">
        <v>44</v>
      </c>
      <c r="B69" s="11">
        <v>0.26349400199999995</v>
      </c>
      <c r="C69" s="11">
        <v>0.2198</v>
      </c>
      <c r="D69" s="8">
        <v>1.6274000000000002</v>
      </c>
      <c r="E69" s="9">
        <v>0.10721799800000001</v>
      </c>
      <c r="F69" s="8">
        <v>37.377800000000001</v>
      </c>
      <c r="G69" s="13">
        <v>0.40269748999999999</v>
      </c>
    </row>
    <row r="70" spans="1:7" x14ac:dyDescent="0.3">
      <c r="A70" s="12" t="s">
        <v>455</v>
      </c>
      <c r="B70" s="11">
        <v>0.13438</v>
      </c>
      <c r="C70" s="11">
        <v>0.121</v>
      </c>
      <c r="D70" s="8">
        <v>1.1850000000000001</v>
      </c>
      <c r="E70" s="9">
        <v>6.6809997499999996E-2</v>
      </c>
      <c r="F70" s="8">
        <v>58.378999999999998</v>
      </c>
      <c r="G70" s="13">
        <v>0.17845501</v>
      </c>
    </row>
    <row r="71" spans="1:7" x14ac:dyDescent="0.3">
      <c r="A71" s="12" t="s">
        <v>158</v>
      </c>
      <c r="B71" s="11">
        <v>0.15536000333333333</v>
      </c>
      <c r="C71" s="11">
        <v>0.21066666666666664</v>
      </c>
      <c r="D71" s="8">
        <v>1.6655</v>
      </c>
      <c r="E71" s="9">
        <v>6.7101666833333337E-2</v>
      </c>
      <c r="F71" s="8">
        <v>123.15566666666665</v>
      </c>
      <c r="G71" s="13">
        <v>0.26484833499999999</v>
      </c>
    </row>
    <row r="72" spans="1:7" x14ac:dyDescent="0.3">
      <c r="A72" s="12" t="s">
        <v>223</v>
      </c>
      <c r="B72" s="11">
        <v>0.12041000057142859</v>
      </c>
      <c r="C72" s="11">
        <v>7.0857142857142855E-2</v>
      </c>
      <c r="D72" s="8">
        <v>1.4689999999999999</v>
      </c>
      <c r="E72" s="9">
        <v>6.6908572285714271E-2</v>
      </c>
      <c r="F72" s="8">
        <v>107.70214285714285</v>
      </c>
      <c r="G72" s="13">
        <v>0.26455856971428571</v>
      </c>
    </row>
    <row r="73" spans="1:7" x14ac:dyDescent="0.3">
      <c r="A73" s="12" t="s">
        <v>408</v>
      </c>
      <c r="B73" s="11">
        <v>0.154615</v>
      </c>
      <c r="C73" s="11">
        <v>0.124</v>
      </c>
      <c r="D73" s="8">
        <v>0.77350000000000008</v>
      </c>
      <c r="E73" s="9">
        <v>0.13881500000000002</v>
      </c>
      <c r="F73" s="8">
        <v>0</v>
      </c>
      <c r="G73" s="13">
        <v>7.1736700000000004</v>
      </c>
    </row>
    <row r="74" spans="1:7" x14ac:dyDescent="0.3">
      <c r="A74" s="12" t="s">
        <v>242</v>
      </c>
      <c r="B74" s="11">
        <v>0.23503499999999999</v>
      </c>
      <c r="C74" s="11">
        <v>0.108</v>
      </c>
      <c r="D74" s="8">
        <v>1.1555</v>
      </c>
      <c r="E74" s="9">
        <v>7.8070000000000001E-2</v>
      </c>
      <c r="F74" s="8">
        <v>48.477499999999999</v>
      </c>
      <c r="G74" s="13">
        <v>0.46344499</v>
      </c>
    </row>
    <row r="75" spans="1:7" x14ac:dyDescent="0.3">
      <c r="A75" s="12" t="s">
        <v>482</v>
      </c>
      <c r="B75" s="11">
        <v>0.15856999999999999</v>
      </c>
      <c r="C75" s="11">
        <v>1.093</v>
      </c>
      <c r="D75" s="8">
        <v>2.5270000000000001</v>
      </c>
      <c r="E75" s="9">
        <v>0.19094999000000001</v>
      </c>
      <c r="F75" s="8">
        <v>41.688000000000002</v>
      </c>
      <c r="G75" s="13">
        <v>0.42226999999999998</v>
      </c>
    </row>
    <row r="76" spans="1:7" x14ac:dyDescent="0.3">
      <c r="A76" s="12" t="s">
        <v>116</v>
      </c>
      <c r="B76" s="11">
        <v>6.9526670100000007E-2</v>
      </c>
      <c r="C76" s="11">
        <v>2.6666666666666644E-3</v>
      </c>
      <c r="D76" s="8">
        <v>0.85466666666666669</v>
      </c>
      <c r="E76" s="9">
        <v>4.439333333333334E-2</v>
      </c>
      <c r="F76" s="8">
        <v>167.02766666666668</v>
      </c>
      <c r="G76" s="13">
        <v>0.12344333333333335</v>
      </c>
    </row>
    <row r="77" spans="1:7" x14ac:dyDescent="0.3">
      <c r="A77" s="12" t="s">
        <v>172</v>
      </c>
      <c r="B77" s="11">
        <v>0.21205499999999999</v>
      </c>
      <c r="C77" s="11">
        <v>3.2500000000000001E-2</v>
      </c>
      <c r="D77" s="8">
        <v>0.87</v>
      </c>
      <c r="E77" s="9">
        <v>0.187360005</v>
      </c>
      <c r="F77" s="8">
        <v>0</v>
      </c>
      <c r="G77" s="13">
        <v>2.7119799000000002</v>
      </c>
    </row>
    <row r="78" spans="1:7" x14ac:dyDescent="0.3">
      <c r="A78" s="12" t="s">
        <v>239</v>
      </c>
      <c r="B78" s="11">
        <v>4.1450000000000001E-2</v>
      </c>
      <c r="C78" s="11">
        <v>0.77100000000000002</v>
      </c>
      <c r="D78" s="8">
        <v>2.4830000000000001</v>
      </c>
      <c r="E78" s="9">
        <v>4.3749999999999997E-2</v>
      </c>
      <c r="F78" s="8">
        <v>208.00700000000001</v>
      </c>
      <c r="G78" s="13">
        <v>7.3050000000000004E-2</v>
      </c>
    </row>
    <row r="79" spans="1:7" x14ac:dyDescent="0.3">
      <c r="A79" s="12" t="s">
        <v>534</v>
      </c>
      <c r="B79" s="11">
        <v>0.19679000999999999</v>
      </c>
      <c r="C79" s="11">
        <v>0.314</v>
      </c>
      <c r="D79" s="8">
        <v>2.9809999999999999</v>
      </c>
      <c r="E79" s="9">
        <v>0.18926000000000001</v>
      </c>
      <c r="F79" s="8">
        <v>5.51</v>
      </c>
      <c r="G79" s="13">
        <v>0.29527999999999999</v>
      </c>
    </row>
    <row r="80" spans="1:7" x14ac:dyDescent="0.3">
      <c r="A80" s="12" t="s">
        <v>381</v>
      </c>
      <c r="B80" s="11">
        <v>2.3503334666666667E-2</v>
      </c>
      <c r="C80" s="11">
        <v>-1.6999999999999998E-2</v>
      </c>
      <c r="D80" s="8">
        <v>0.71200000000000008</v>
      </c>
      <c r="E80" s="9">
        <v>2.2789999333333335E-2</v>
      </c>
      <c r="F80" s="8">
        <v>123.89433333333334</v>
      </c>
      <c r="G80" s="13">
        <v>1.920666666666667E-2</v>
      </c>
    </row>
    <row r="81" spans="1:7" x14ac:dyDescent="0.3">
      <c r="A81" s="12" t="s">
        <v>155</v>
      </c>
      <c r="B81" s="11">
        <v>0.13919999833333332</v>
      </c>
      <c r="C81" s="11">
        <v>3.0333333333333337E-2</v>
      </c>
      <c r="D81" s="8">
        <v>0.65966666666666662</v>
      </c>
      <c r="E81" s="9">
        <v>2.127833375E-2</v>
      </c>
      <c r="F81" s="8">
        <v>151.27916666666667</v>
      </c>
      <c r="G81" s="13">
        <v>8.0088333333333345E-2</v>
      </c>
    </row>
    <row r="82" spans="1:7" x14ac:dyDescent="0.3">
      <c r="A82" s="12" t="s">
        <v>327</v>
      </c>
      <c r="B82" s="11">
        <v>0.107585002</v>
      </c>
      <c r="C82" s="11">
        <v>0.17799999999999999</v>
      </c>
      <c r="D82" s="8">
        <v>0.74199999999999999</v>
      </c>
      <c r="E82" s="9">
        <v>6.2375001499999999E-2</v>
      </c>
      <c r="F82" s="8">
        <v>145.95850000000002</v>
      </c>
      <c r="G82" s="13">
        <v>0.19602499500000001</v>
      </c>
    </row>
    <row r="83" spans="1:7" ht="15" thickBot="1" x14ac:dyDescent="0.35">
      <c r="A83" s="14" t="s">
        <v>591</v>
      </c>
      <c r="B83" s="15">
        <v>0.16991376137610617</v>
      </c>
      <c r="C83" s="15">
        <v>0.35693805309734472</v>
      </c>
      <c r="D83" s="16">
        <v>1.5702376681614347</v>
      </c>
      <c r="E83" s="17">
        <v>7.955659218609866E-2</v>
      </c>
      <c r="F83" s="16">
        <v>139.95073008849556</v>
      </c>
      <c r="G83" s="18">
        <v>0.51881474324835686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CB75-F0C1-404A-BA98-4E0BDE0809E0}">
  <dimension ref="A1:AD227"/>
  <sheetViews>
    <sheetView topLeftCell="V196" zoomScale="64" workbookViewId="0">
      <selection activeCell="AD219" sqref="AD219"/>
    </sheetView>
  </sheetViews>
  <sheetFormatPr defaultRowHeight="14.4" x14ac:dyDescent="0.3"/>
  <cols>
    <col min="1" max="1" width="34.6640625" style="6" bestFit="1" customWidth="1"/>
    <col min="2" max="2" width="20.77734375" style="6" bestFit="1" customWidth="1"/>
    <col min="3" max="3" width="40.77734375" style="6" bestFit="1" customWidth="1"/>
    <col min="4" max="4" width="22" style="31" bestFit="1" customWidth="1"/>
    <col min="5" max="5" width="23.6640625" style="31" bestFit="1" customWidth="1"/>
    <col min="6" max="6" width="22" style="31" customWidth="1"/>
    <col min="7" max="7" width="22" style="34" customWidth="1"/>
    <col min="8" max="8" width="25.21875" style="31" bestFit="1" customWidth="1"/>
    <col min="9" max="9" width="26.88671875" style="31" bestFit="1" customWidth="1"/>
    <col min="10" max="10" width="24.88671875" style="31" bestFit="1" customWidth="1"/>
    <col min="11" max="11" width="12.5546875" style="34" bestFit="1" customWidth="1"/>
    <col min="12" max="12" width="12.44140625" style="31" bestFit="1" customWidth="1"/>
    <col min="13" max="13" width="23.88671875" style="31" bestFit="1" customWidth="1"/>
    <col min="14" max="14" width="21.88671875" style="31" bestFit="1" customWidth="1"/>
    <col min="15" max="15" width="13.44140625" style="31" bestFit="1" customWidth="1"/>
    <col min="16" max="16" width="7.109375" style="31" bestFit="1" customWidth="1"/>
    <col min="17" max="17" width="16.109375" style="31" bestFit="1" customWidth="1"/>
    <col min="18" max="18" width="14.109375" style="31" bestFit="1" customWidth="1"/>
    <col min="19" max="19" width="10" style="34" bestFit="1" customWidth="1"/>
    <col min="20" max="20" width="13.5546875" style="31" bestFit="1" customWidth="1"/>
    <col min="21" max="21" width="25" style="31" bestFit="1" customWidth="1"/>
    <col min="22" max="22" width="14.44140625" style="31" bestFit="1" customWidth="1"/>
    <col min="23" max="23" width="14.33203125" style="31" bestFit="1" customWidth="1"/>
    <col min="24" max="24" width="9.44140625" style="31" bestFit="1" customWidth="1"/>
    <col min="25" max="25" width="16.77734375" style="32" bestFit="1" customWidth="1"/>
    <col min="26" max="26" width="15.44140625" style="31" bestFit="1" customWidth="1"/>
    <col min="27" max="27" width="10.33203125" style="31" bestFit="1" customWidth="1"/>
    <col min="28" max="28" width="23" style="31" bestFit="1" customWidth="1"/>
    <col min="29" max="29" width="19.33203125" style="67" bestFit="1" customWidth="1"/>
    <col min="30" max="30" width="24.109375" style="31" bestFit="1" customWidth="1"/>
  </cols>
  <sheetData>
    <row r="1" spans="1:30" ht="15" thickBot="1" x14ac:dyDescent="0.35">
      <c r="A1" s="49" t="s">
        <v>574</v>
      </c>
      <c r="B1" s="51" t="s">
        <v>583</v>
      </c>
      <c r="C1" s="51" t="s">
        <v>575</v>
      </c>
      <c r="D1" s="50" t="s">
        <v>576</v>
      </c>
      <c r="E1" s="50" t="s">
        <v>598</v>
      </c>
      <c r="F1" s="50" t="s">
        <v>599</v>
      </c>
      <c r="G1" s="52" t="s">
        <v>600</v>
      </c>
      <c r="H1" s="50" t="s">
        <v>577</v>
      </c>
      <c r="I1" s="50" t="s">
        <v>601</v>
      </c>
      <c r="J1" s="50" t="s">
        <v>602</v>
      </c>
      <c r="K1" s="52" t="s">
        <v>603</v>
      </c>
      <c r="L1" s="50" t="s">
        <v>578</v>
      </c>
      <c r="M1" s="50" t="s">
        <v>604</v>
      </c>
      <c r="N1" s="50" t="s">
        <v>605</v>
      </c>
      <c r="O1" s="50" t="s">
        <v>606</v>
      </c>
      <c r="P1" s="50" t="s">
        <v>579</v>
      </c>
      <c r="Q1" s="50" t="s">
        <v>607</v>
      </c>
      <c r="R1" s="50" t="s">
        <v>608</v>
      </c>
      <c r="S1" s="52" t="s">
        <v>609</v>
      </c>
      <c r="T1" s="50" t="s">
        <v>580</v>
      </c>
      <c r="U1" s="50" t="s">
        <v>610</v>
      </c>
      <c r="V1" s="50" t="s">
        <v>611</v>
      </c>
      <c r="W1" s="50" t="s">
        <v>612</v>
      </c>
      <c r="X1" s="50" t="s">
        <v>581</v>
      </c>
      <c r="Y1" s="68" t="s">
        <v>613</v>
      </c>
      <c r="Z1" s="69" t="s">
        <v>614</v>
      </c>
      <c r="AA1" s="69" t="s">
        <v>615</v>
      </c>
      <c r="AB1" s="69" t="s">
        <v>616</v>
      </c>
      <c r="AC1" s="70" t="s">
        <v>617</v>
      </c>
      <c r="AD1" s="71" t="s">
        <v>618</v>
      </c>
    </row>
    <row r="2" spans="1:30" x14ac:dyDescent="0.3">
      <c r="A2" s="19" t="s">
        <v>117</v>
      </c>
      <c r="B2" s="45" t="s">
        <v>118</v>
      </c>
      <c r="C2" s="45" t="s">
        <v>116</v>
      </c>
      <c r="D2" s="46">
        <v>0.16419001</v>
      </c>
      <c r="E2" s="46">
        <f>_xlfn.XLOOKUP(C2,Industry_Benchmark!$A$2:$A$82,Industry_Benchmark!$B$2:$B$82,"")</f>
        <v>6.9526670100000007E-2</v>
      </c>
      <c r="F2" s="46">
        <f>D2-E2</f>
        <v>9.466333989999999E-2</v>
      </c>
      <c r="G2" s="47">
        <f>IF(F2&gt;0,1,0)</f>
        <v>1</v>
      </c>
      <c r="H2" s="46">
        <v>4.2999999999999997E-2</v>
      </c>
      <c r="I2" s="46">
        <f>_xlfn.XLOOKUP(C2,Industry_Benchmark!$A$2:$A$82,Industry_Benchmark!$C$2:$C$82,"")</f>
        <v>2.6666666666666644E-3</v>
      </c>
      <c r="J2" s="46">
        <f>H2-I2</f>
        <v>4.0333333333333332E-2</v>
      </c>
      <c r="K2" s="47">
        <f>IF(J2&gt;0,1,0)</f>
        <v>1</v>
      </c>
      <c r="L2" s="44">
        <v>0.97399999999999998</v>
      </c>
      <c r="M2" s="44">
        <f>_xlfn.XLOOKUP(C2,Industry_Benchmark!$A$2:$A$82,Industry_Benchmark!$D$2:$D$82,"")</f>
        <v>0.85466666666666669</v>
      </c>
      <c r="N2" s="44">
        <f>L2-M2</f>
        <v>0.11933333333333329</v>
      </c>
      <c r="O2" s="44">
        <f>IF(N2&gt;0,1,0)</f>
        <v>1</v>
      </c>
      <c r="P2" s="46">
        <v>6.5229999999999996E-2</v>
      </c>
      <c r="Q2" s="46">
        <f>_xlfn.XLOOKUP(C2,Industry_Benchmark!$A$2:$A$82,Industry_Benchmark!$E$2:$E$82,"")</f>
        <v>4.439333333333334E-2</v>
      </c>
      <c r="R2" s="46">
        <f>P2-Q2</f>
        <v>2.0836666666666656E-2</v>
      </c>
      <c r="S2" s="47">
        <f>IF(R2&gt;0,1,0)</f>
        <v>1</v>
      </c>
      <c r="T2" s="44">
        <v>228.03800000000001</v>
      </c>
      <c r="U2" s="44">
        <f>_xlfn.XLOOKUP(C2,Industry_Benchmark!$A$2:$A$82,Industry_Benchmark!$F$2:$F$82,"")</f>
        <v>167.02766666666668</v>
      </c>
      <c r="V2" s="44">
        <f>T2-U2</f>
        <v>61.010333333333335</v>
      </c>
      <c r="W2" s="44">
        <f>IF(V2&gt;0,1,0)</f>
        <v>1</v>
      </c>
      <c r="X2" s="46">
        <v>0.31167</v>
      </c>
      <c r="Y2" s="46">
        <f>_xlfn.XLOOKUP(C2,Industry_Benchmark!$A$2:$A$82,Industry_Benchmark!$G$2:$G$82,"")</f>
        <v>0.12344333333333335</v>
      </c>
      <c r="Z2" s="55">
        <f>X2-Y2</f>
        <v>0.18822666666666665</v>
      </c>
      <c r="AA2" s="44">
        <f>IF(Z2&gt;0,1,0)</f>
        <v>1</v>
      </c>
      <c r="AB2" s="56">
        <f>SUM(G2,K2,O2,S2,W2,AA2)</f>
        <v>6</v>
      </c>
      <c r="AC2" s="57">
        <f>AB2/6</f>
        <v>1</v>
      </c>
      <c r="AD2" s="58" t="str" cm="1">
        <f t="array" ref="AD2">_xlfn.IFS(
AB2=6,"Excellent",
AB2=5,"Strong",
AB2=4,"Good",
AB2=3,"Average",
AB2&lt;=2,"Weak"
)</f>
        <v>Excellent</v>
      </c>
    </row>
    <row r="3" spans="1:30" x14ac:dyDescent="0.3">
      <c r="A3" s="12" t="s">
        <v>315</v>
      </c>
      <c r="B3" s="10" t="s">
        <v>316</v>
      </c>
      <c r="C3" s="10" t="s">
        <v>223</v>
      </c>
      <c r="D3" s="36">
        <v>0.19134999999999999</v>
      </c>
      <c r="E3" s="36">
        <f>_xlfn.XLOOKUP(C3,Industry_Benchmark!$A$2:$A$82,Industry_Benchmark!$B$2:$B$82,"")</f>
        <v>0.12041000057142859</v>
      </c>
      <c r="F3" s="36">
        <f>D3-E3</f>
        <v>7.0939999428571404E-2</v>
      </c>
      <c r="G3" s="37">
        <f>IF(F3&gt;0,1,0)</f>
        <v>1</v>
      </c>
      <c r="H3" s="36">
        <v>7.4999999999999997E-2</v>
      </c>
      <c r="I3" s="36">
        <f>_xlfn.XLOOKUP(C3,Industry_Benchmark!$A$2:$A$82,Industry_Benchmark!$C$2:$C$82,"")</f>
        <v>7.0857142857142855E-2</v>
      </c>
      <c r="J3" s="36">
        <f>H3-I3</f>
        <v>4.1428571428571426E-3</v>
      </c>
      <c r="K3" s="37">
        <f>IF(J3&gt;0,1,0)</f>
        <v>1</v>
      </c>
      <c r="L3" s="35">
        <v>2.1949999999999998</v>
      </c>
      <c r="M3" s="35">
        <f>_xlfn.XLOOKUP(C3,Industry_Benchmark!$A$2:$A$82,Industry_Benchmark!$D$2:$D$82,"")</f>
        <v>1.4689999999999999</v>
      </c>
      <c r="N3" s="35">
        <f>L3-M3</f>
        <v>0.72599999999999998</v>
      </c>
      <c r="O3" s="35">
        <f>IF(N3&gt;0,1,0)</f>
        <v>1</v>
      </c>
      <c r="P3" s="36">
        <v>0.14562</v>
      </c>
      <c r="Q3" s="36">
        <f>_xlfn.XLOOKUP(C3,Industry_Benchmark!$A$2:$A$82,Industry_Benchmark!$E$2:$E$82,"")</f>
        <v>6.6908572285714271E-2</v>
      </c>
      <c r="R3" s="36">
        <f>P3-Q3</f>
        <v>7.8711427714285728E-2</v>
      </c>
      <c r="S3" s="37">
        <f>IF(R3&gt;0,1,0)</f>
        <v>1</v>
      </c>
      <c r="T3" s="35">
        <v>216.17500000000001</v>
      </c>
      <c r="U3" s="35">
        <f>_xlfn.XLOOKUP(C3,Industry_Benchmark!$A$2:$A$82,Industry_Benchmark!$F$2:$F$82,"")</f>
        <v>107.70214285714285</v>
      </c>
      <c r="V3" s="35">
        <f>T3-U3</f>
        <v>108.47285714285717</v>
      </c>
      <c r="W3" s="35">
        <f>IF(V3&gt;0,1,0)</f>
        <v>1</v>
      </c>
      <c r="X3" s="36">
        <v>0.88109999999999999</v>
      </c>
      <c r="Y3" s="36">
        <f>_xlfn.XLOOKUP(C3,Industry_Benchmark!$A$2:$A$82,Industry_Benchmark!$G$2:$G$82,"")</f>
        <v>0.26455856971428571</v>
      </c>
      <c r="Z3" s="59">
        <f>X3-Y3</f>
        <v>0.61654143028571429</v>
      </c>
      <c r="AA3" s="35">
        <f>IF(Z3&gt;0,1,0)</f>
        <v>1</v>
      </c>
      <c r="AB3" s="60">
        <f>SUM(G3,K3,O3,S3,W3,AA3)</f>
        <v>6</v>
      </c>
      <c r="AC3" s="61">
        <f>AB3/6</f>
        <v>1</v>
      </c>
      <c r="AD3" s="62" t="str" cm="1">
        <f t="array" ref="AD3">_xlfn.IFS(
AB3=6,"Excellent",
AB3=5,"Strong",
AB3=4,"Good",
AB3=3,"Average",
AB3&lt;=2,"Weak"
)</f>
        <v>Excellent</v>
      </c>
    </row>
    <row r="4" spans="1:30" x14ac:dyDescent="0.3">
      <c r="A4" s="12" t="s">
        <v>317</v>
      </c>
      <c r="B4" s="10" t="s">
        <v>318</v>
      </c>
      <c r="C4" s="10" t="s">
        <v>210</v>
      </c>
      <c r="D4" s="36">
        <v>0.50629000000000002</v>
      </c>
      <c r="E4" s="36">
        <f>_xlfn.XLOOKUP(C4,Industry_Benchmark!$A$2:$A$82,Industry_Benchmark!$B$2:$B$82,"")</f>
        <v>0.454235</v>
      </c>
      <c r="F4" s="36">
        <f>D4-E4</f>
        <v>5.2055000000000018E-2</v>
      </c>
      <c r="G4" s="37">
        <f>IF(F4&gt;0,1,0)</f>
        <v>1</v>
      </c>
      <c r="H4" s="36">
        <v>0.22800000000000001</v>
      </c>
      <c r="I4" s="36">
        <f>_xlfn.XLOOKUP(C4,Industry_Benchmark!$A$2:$A$82,Industry_Benchmark!$C$2:$C$82,"")</f>
        <v>0.16500000000000001</v>
      </c>
      <c r="J4" s="36">
        <f>H4-I4</f>
        <v>6.3E-2</v>
      </c>
      <c r="K4" s="37">
        <f>IF(J4&gt;0,1,0)</f>
        <v>1</v>
      </c>
      <c r="L4" s="35">
        <v>2.0750000000000002</v>
      </c>
      <c r="M4" s="35">
        <f>_xlfn.XLOOKUP(C4,Industry_Benchmark!$A$2:$A$82,Industry_Benchmark!$D$2:$D$82,"")</f>
        <v>1.4615</v>
      </c>
      <c r="N4" s="35">
        <f>L4-M4</f>
        <v>0.61350000000000016</v>
      </c>
      <c r="O4" s="35">
        <f>IF(N4&gt;0,1,0)</f>
        <v>1</v>
      </c>
      <c r="P4" s="36">
        <v>7.9799999999999996E-2</v>
      </c>
      <c r="Q4" s="36">
        <f>_xlfn.XLOOKUP(C4,Industry_Benchmark!$A$2:$A$82,Industry_Benchmark!$E$2:$E$82,"")</f>
        <v>4.9790000000000001E-2</v>
      </c>
      <c r="R4" s="36">
        <f>P4-Q4</f>
        <v>3.0009999999999995E-2</v>
      </c>
      <c r="S4" s="37">
        <f>IF(R4&gt;0,1,0)</f>
        <v>1</v>
      </c>
      <c r="T4" s="35">
        <v>63.881999999999998</v>
      </c>
      <c r="U4" s="35">
        <f>_xlfn.XLOOKUP(C4,Industry_Benchmark!$A$2:$A$82,Industry_Benchmark!$F$2:$F$82,"")</f>
        <v>55.820499999999996</v>
      </c>
      <c r="V4" s="35">
        <f>T4-U4</f>
        <v>8.0615000000000023</v>
      </c>
      <c r="W4" s="35">
        <f>IF(V4&gt;0,1,0)</f>
        <v>1</v>
      </c>
      <c r="X4" s="36">
        <v>0.19327</v>
      </c>
      <c r="Y4" s="36">
        <f>_xlfn.XLOOKUP(C4,Industry_Benchmark!$A$2:$A$82,Industry_Benchmark!$G$2:$G$82,"")</f>
        <v>0.12606500000000001</v>
      </c>
      <c r="Z4" s="59">
        <f>X4-Y4</f>
        <v>6.7204999999999987E-2</v>
      </c>
      <c r="AA4" s="35">
        <f>IF(Z4&gt;0,1,0)</f>
        <v>1</v>
      </c>
      <c r="AB4" s="60">
        <f>SUM(G4,K4,O4,S4,W4,AA4)</f>
        <v>6</v>
      </c>
      <c r="AC4" s="61">
        <f>AB4/6</f>
        <v>1</v>
      </c>
      <c r="AD4" s="62" t="str" cm="1">
        <f t="array" ref="AD4">_xlfn.IFS(
AB4=6,"Excellent",
AB4=5,"Strong",
AB4=4,"Good",
AB4=3,"Average",
AB4&lt;=2,"Weak"
)</f>
        <v>Excellent</v>
      </c>
    </row>
    <row r="5" spans="1:30" x14ac:dyDescent="0.3">
      <c r="A5" s="12" t="s">
        <v>45</v>
      </c>
      <c r="B5" s="10" t="s">
        <v>46</v>
      </c>
      <c r="C5" s="10" t="s">
        <v>44</v>
      </c>
      <c r="D5" s="36">
        <v>0.38498001999999998</v>
      </c>
      <c r="E5" s="36">
        <f>_xlfn.XLOOKUP(C5,Industry_Benchmark!$A$2:$A$82,Industry_Benchmark!$B$2:$B$82,"")</f>
        <v>0.26349400199999995</v>
      </c>
      <c r="F5" s="36">
        <f>D5-E5</f>
        <v>0.12148601800000003</v>
      </c>
      <c r="G5" s="37">
        <f>IF(F5&gt;0,1,0)</f>
        <v>1</v>
      </c>
      <c r="H5" s="36">
        <v>0.20100000000000001</v>
      </c>
      <c r="I5" s="36">
        <f>_xlfn.XLOOKUP(C5,Industry_Benchmark!$A$2:$A$82,Industry_Benchmark!$C$2:$C$82,"")</f>
        <v>0.2198</v>
      </c>
      <c r="J5" s="36">
        <f>H5-I5</f>
        <v>-1.8799999999999983E-2</v>
      </c>
      <c r="K5" s="37">
        <f>IF(J5&gt;0,1,0)</f>
        <v>0</v>
      </c>
      <c r="L5" s="35">
        <v>2.2469999999999999</v>
      </c>
      <c r="M5" s="35">
        <f>_xlfn.XLOOKUP(C5,Industry_Benchmark!$A$2:$A$82,Industry_Benchmark!$D$2:$D$82,"")</f>
        <v>1.6274000000000002</v>
      </c>
      <c r="N5" s="35">
        <f>L5-M5</f>
        <v>0.61959999999999971</v>
      </c>
      <c r="O5" s="35">
        <f>IF(N5&gt;0,1,0)</f>
        <v>1</v>
      </c>
      <c r="P5" s="36">
        <v>0.15248998999999999</v>
      </c>
      <c r="Q5" s="36">
        <f>_xlfn.XLOOKUP(C5,Industry_Benchmark!$A$2:$A$82,Industry_Benchmark!$E$2:$E$82,"")</f>
        <v>0.10721799800000001</v>
      </c>
      <c r="R5" s="36">
        <f>P5-Q5</f>
        <v>4.5271991999999983E-2</v>
      </c>
      <c r="S5" s="37">
        <f>IF(R5&gt;0,1,0)</f>
        <v>1</v>
      </c>
      <c r="T5" s="35">
        <v>50.216999999999999</v>
      </c>
      <c r="U5" s="35">
        <f>_xlfn.XLOOKUP(C5,Industry_Benchmark!$A$2:$A$82,Industry_Benchmark!$F$2:$F$82,"")</f>
        <v>37.377800000000001</v>
      </c>
      <c r="V5" s="35">
        <f>T5-U5</f>
        <v>12.839199999999998</v>
      </c>
      <c r="W5" s="35">
        <f>IF(V5&gt;0,1,0)</f>
        <v>1</v>
      </c>
      <c r="X5" s="36">
        <v>0.49051</v>
      </c>
      <c r="Y5" s="36">
        <f>_xlfn.XLOOKUP(C5,Industry_Benchmark!$A$2:$A$82,Industry_Benchmark!$G$2:$G$82,"")</f>
        <v>0.40269748999999999</v>
      </c>
      <c r="Z5" s="59">
        <f>X5-Y5</f>
        <v>8.781251000000001E-2</v>
      </c>
      <c r="AA5" s="35">
        <f>IF(Z5&gt;0,1,0)</f>
        <v>1</v>
      </c>
      <c r="AB5" s="60">
        <f>SUM(G5,K5,O5,S5,W5,AA5)</f>
        <v>5</v>
      </c>
      <c r="AC5" s="61">
        <f>AB5/6</f>
        <v>0.83333333333333337</v>
      </c>
      <c r="AD5" s="62" t="str" cm="1">
        <f t="array" ref="AD5">_xlfn.IFS(
AB5=6,"Excellent",
AB5=5,"Strong",
AB5=4,"Good",
AB5=3,"Average",
AB5&lt;=2,"Weak"
)</f>
        <v>Strong</v>
      </c>
    </row>
    <row r="6" spans="1:30" x14ac:dyDescent="0.3">
      <c r="A6" s="12" t="s">
        <v>58</v>
      </c>
      <c r="B6" s="10" t="s">
        <v>59</v>
      </c>
      <c r="C6" s="10" t="s">
        <v>57</v>
      </c>
      <c r="D6" s="36">
        <v>0.33806000000000003</v>
      </c>
      <c r="E6" s="36">
        <f>_xlfn.XLOOKUP(C6,Industry_Benchmark!$A$2:$A$82,Industry_Benchmark!$B$2:$B$82,"")</f>
        <v>0.24659300000000001</v>
      </c>
      <c r="F6" s="36">
        <f>D6-E6</f>
        <v>9.1467000000000021E-2</v>
      </c>
      <c r="G6" s="37">
        <f>IF(F6&gt;0,1,0)</f>
        <v>1</v>
      </c>
      <c r="H6" s="36">
        <v>0.503</v>
      </c>
      <c r="I6" s="36">
        <f>_xlfn.XLOOKUP(C6,Industry_Benchmark!$A$2:$A$82,Industry_Benchmark!$C$2:$C$82,"")</f>
        <v>0.30759999999999998</v>
      </c>
      <c r="J6" s="36">
        <f>H6-I6</f>
        <v>0.19540000000000002</v>
      </c>
      <c r="K6" s="37">
        <f>IF(J6&gt;0,1,0)</f>
        <v>1</v>
      </c>
      <c r="L6" s="35">
        <v>7.1449999999999996</v>
      </c>
      <c r="M6" s="35">
        <f>_xlfn.XLOOKUP(C6,Industry_Benchmark!$A$2:$A$82,Industry_Benchmark!$D$2:$D$82,"")</f>
        <v>2.9108000000000001</v>
      </c>
      <c r="N6" s="35">
        <f>L6-M6</f>
        <v>4.2341999999999995</v>
      </c>
      <c r="O6" s="35">
        <f>IF(N6&gt;0,1,0)</f>
        <v>1</v>
      </c>
      <c r="P6" s="36">
        <v>0.15934000000000001</v>
      </c>
      <c r="Q6" s="36">
        <f>_xlfn.XLOOKUP(C6,Industry_Benchmark!$A$2:$A$82,Industry_Benchmark!$E$2:$E$82,"")</f>
        <v>0.1215560017</v>
      </c>
      <c r="R6" s="36">
        <f>P6-Q6</f>
        <v>3.778399830000001E-2</v>
      </c>
      <c r="S6" s="37">
        <f>IF(R6&gt;0,1,0)</f>
        <v>1</v>
      </c>
      <c r="T6" s="35">
        <v>49.697000000000003</v>
      </c>
      <c r="U6" s="35">
        <f>_xlfn.XLOOKUP(C6,Industry_Benchmark!$A$2:$A$82,Industry_Benchmark!$F$2:$F$82,"")</f>
        <v>77.073399999999992</v>
      </c>
      <c r="V6" s="35">
        <f>T6-U6</f>
        <v>-27.37639999999999</v>
      </c>
      <c r="W6" s="35">
        <f>IF(V6&gt;0,1,0)</f>
        <v>0</v>
      </c>
      <c r="X6" s="36">
        <v>0.41939998000000001</v>
      </c>
      <c r="Y6" s="36">
        <f>_xlfn.XLOOKUP(C6,Industry_Benchmark!$A$2:$A$82,Industry_Benchmark!$G$2:$G$82,"")</f>
        <v>0.37541199820000004</v>
      </c>
      <c r="Z6" s="59">
        <f>X6-Y6</f>
        <v>4.3987981799999964E-2</v>
      </c>
      <c r="AA6" s="35">
        <f>IF(Z6&gt;0,1,0)</f>
        <v>1</v>
      </c>
      <c r="AB6" s="60">
        <f>SUM(G6,K6,O6,S6,W6,AA6)</f>
        <v>5</v>
      </c>
      <c r="AC6" s="61">
        <f>AB6/6</f>
        <v>0.83333333333333337</v>
      </c>
      <c r="AD6" s="62" t="str" cm="1">
        <f t="array" ref="AD6">_xlfn.IFS(
AB6=6,"Excellent",
AB6=5,"Strong",
AB6=4,"Good",
AB6=3,"Average",
AB6&lt;=2,"Weak"
)</f>
        <v>Strong</v>
      </c>
    </row>
    <row r="7" spans="1:30" x14ac:dyDescent="0.3">
      <c r="A7" s="12" t="s">
        <v>80</v>
      </c>
      <c r="B7" s="10" t="s">
        <v>81</v>
      </c>
      <c r="C7" s="10" t="s">
        <v>65</v>
      </c>
      <c r="D7" s="36">
        <v>0.46001998</v>
      </c>
      <c r="E7" s="36">
        <f>_xlfn.XLOOKUP(C7,Industry_Benchmark!$A$2:$A$82,Industry_Benchmark!$B$2:$B$82,"")</f>
        <v>0.39226666333333338</v>
      </c>
      <c r="F7" s="36">
        <f>D7-E7</f>
        <v>6.7753316666666619E-2</v>
      </c>
      <c r="G7" s="37">
        <f>IF(F7&gt;0,1,0)</f>
        <v>1</v>
      </c>
      <c r="H7" s="36">
        <v>0.26600000000000001</v>
      </c>
      <c r="I7" s="36">
        <f>_xlfn.XLOOKUP(C7,Industry_Benchmark!$A$2:$A$82,Industry_Benchmark!$C$2:$C$82,"")</f>
        <v>0.21299999999999999</v>
      </c>
      <c r="J7" s="36">
        <f>H7-I7</f>
        <v>5.3000000000000019E-2</v>
      </c>
      <c r="K7" s="37">
        <f>IF(J7&gt;0,1,0)</f>
        <v>1</v>
      </c>
      <c r="L7" s="35">
        <v>1.288</v>
      </c>
      <c r="M7" s="35">
        <f>_xlfn.XLOOKUP(C7,Industry_Benchmark!$A$2:$A$82,Industry_Benchmark!$D$2:$D$82,"")</f>
        <v>1.327</v>
      </c>
      <c r="N7" s="35">
        <f>L7-M7</f>
        <v>-3.8999999999999924E-2</v>
      </c>
      <c r="O7" s="35">
        <f>IF(N7&gt;0,1,0)</f>
        <v>0</v>
      </c>
      <c r="P7" s="36">
        <v>0.18013000000000001</v>
      </c>
      <c r="Q7" s="36">
        <f>_xlfn.XLOOKUP(C7,Industry_Benchmark!$A$2:$A$82,Industry_Benchmark!$E$2:$E$82,"")</f>
        <v>0.11619666766666666</v>
      </c>
      <c r="R7" s="36">
        <f>P7-Q7</f>
        <v>6.3933332333333356E-2</v>
      </c>
      <c r="S7" s="37">
        <f>IF(R7&gt;0,1,0)</f>
        <v>1</v>
      </c>
      <c r="T7" s="35">
        <v>197.96299999999999</v>
      </c>
      <c r="U7" s="35">
        <f>_xlfn.XLOOKUP(C7,Industry_Benchmark!$A$2:$A$82,Industry_Benchmark!$F$2:$F$82,"")</f>
        <v>99.888333333333321</v>
      </c>
      <c r="V7" s="35">
        <f>T7-U7</f>
        <v>98.074666666666673</v>
      </c>
      <c r="W7" s="35">
        <f>IF(V7&gt;0,1,0)</f>
        <v>1</v>
      </c>
      <c r="X7" s="36">
        <v>1.2473301000000001</v>
      </c>
      <c r="Y7" s="36">
        <f>_xlfn.XLOOKUP(C7,Industry_Benchmark!$A$2:$A$82,Industry_Benchmark!$G$2:$G$82,"")</f>
        <v>0.61539335666666661</v>
      </c>
      <c r="Z7" s="59">
        <f>X7-Y7</f>
        <v>0.63193674333333349</v>
      </c>
      <c r="AA7" s="35">
        <f>IF(Z7&gt;0,1,0)</f>
        <v>1</v>
      </c>
      <c r="AB7" s="60">
        <f>SUM(G7,K7,O7,S7,W7,AA7)</f>
        <v>5</v>
      </c>
      <c r="AC7" s="61">
        <f>AB7/6</f>
        <v>0.83333333333333337</v>
      </c>
      <c r="AD7" s="62" t="str" cm="1">
        <f t="array" ref="AD7">_xlfn.IFS(
AB7=6,"Excellent",
AB7=5,"Strong",
AB7=4,"Good",
AB7=3,"Average",
AB7&lt;=2,"Weak"
)</f>
        <v>Strong</v>
      </c>
    </row>
    <row r="8" spans="1:30" x14ac:dyDescent="0.3">
      <c r="A8" s="12" t="s">
        <v>83</v>
      </c>
      <c r="B8" s="10" t="s">
        <v>84</v>
      </c>
      <c r="C8" s="10" t="s">
        <v>82</v>
      </c>
      <c r="D8" s="36">
        <v>0.10791001</v>
      </c>
      <c r="E8" s="36">
        <f>_xlfn.XLOOKUP(C8,Industry_Benchmark!$A$2:$A$82,Industry_Benchmark!$B$2:$B$82,"")</f>
        <v>9.7080004999999997E-2</v>
      </c>
      <c r="F8" s="36">
        <f>D8-E8</f>
        <v>1.0830005000000004E-2</v>
      </c>
      <c r="G8" s="37">
        <f>IF(F8&gt;0,1,0)</f>
        <v>1</v>
      </c>
      <c r="H8" s="36">
        <v>9.8000000000000004E-2</v>
      </c>
      <c r="I8" s="36">
        <f>_xlfn.XLOOKUP(C8,Industry_Benchmark!$A$2:$A$82,Industry_Benchmark!$C$2:$C$82,"")</f>
        <v>6.25E-2</v>
      </c>
      <c r="J8" s="36">
        <f>H8-I8</f>
        <v>3.5500000000000004E-2</v>
      </c>
      <c r="K8" s="37">
        <f>IF(J8&gt;0,1,0)</f>
        <v>1</v>
      </c>
      <c r="L8" s="35">
        <v>1.1319999999999999</v>
      </c>
      <c r="M8" s="35">
        <f>_xlfn.XLOOKUP(C8,Industry_Benchmark!$A$2:$A$82,Industry_Benchmark!$D$2:$D$82,"")</f>
        <v>1.1625000000000001</v>
      </c>
      <c r="N8" s="35">
        <f>L8-M8</f>
        <v>-3.0500000000000194E-2</v>
      </c>
      <c r="O8" s="35">
        <f>IF(N8&gt;0,1,0)</f>
        <v>0</v>
      </c>
      <c r="P8" s="36">
        <v>0.20454</v>
      </c>
      <c r="Q8" s="36">
        <f>_xlfn.XLOOKUP(C8,Industry_Benchmark!$A$2:$A$82,Industry_Benchmark!$E$2:$E$82,"")</f>
        <v>0.18337500000000001</v>
      </c>
      <c r="R8" s="36">
        <f>P8-Q8</f>
        <v>2.1164999999999989E-2</v>
      </c>
      <c r="S8" s="37">
        <f>IF(R8&gt;0,1,0)</f>
        <v>1</v>
      </c>
      <c r="T8" s="35">
        <v>4373.43</v>
      </c>
      <c r="U8" s="35">
        <f>_xlfn.XLOOKUP(C8,Industry_Benchmark!$A$2:$A$82,Industry_Benchmark!$F$2:$F$82,"")</f>
        <v>2186.7150000000001</v>
      </c>
      <c r="V8" s="35">
        <f>T8-U8</f>
        <v>2186.7150000000001</v>
      </c>
      <c r="W8" s="35">
        <f>IF(V8&gt;0,1,0)</f>
        <v>1</v>
      </c>
      <c r="X8" s="36">
        <v>12.4031105</v>
      </c>
      <c r="Y8" s="36">
        <f>_xlfn.XLOOKUP(C8,Industry_Benchmark!$A$2:$A$82,Industry_Benchmark!$G$2:$G$82,"")</f>
        <v>9.4907002499999997</v>
      </c>
      <c r="Z8" s="59">
        <f>X8-Y8</f>
        <v>2.9124102500000006</v>
      </c>
      <c r="AA8" s="35">
        <f>IF(Z8&gt;0,1,0)</f>
        <v>1</v>
      </c>
      <c r="AB8" s="60">
        <f>SUM(G8,K8,O8,S8,W8,AA8)</f>
        <v>5</v>
      </c>
      <c r="AC8" s="61">
        <f>AB8/6</f>
        <v>0.83333333333333337</v>
      </c>
      <c r="AD8" s="62" t="str" cm="1">
        <f t="array" ref="AD8">_xlfn.IFS(
AB8=6,"Excellent",
AB8=5,"Strong",
AB8=4,"Good",
AB8=3,"Average",
AB8&lt;=2,"Weak"
)</f>
        <v>Strong</v>
      </c>
    </row>
    <row r="9" spans="1:30" x14ac:dyDescent="0.3">
      <c r="A9" s="12" t="s">
        <v>114</v>
      </c>
      <c r="B9" s="10" t="s">
        <v>115</v>
      </c>
      <c r="C9" s="10" t="s">
        <v>113</v>
      </c>
      <c r="D9" s="36">
        <v>0.11533</v>
      </c>
      <c r="E9" s="36">
        <f>_xlfn.XLOOKUP(C9,Industry_Benchmark!$A$2:$A$82,Industry_Benchmark!$B$2:$B$82,"")</f>
        <v>8.1440000400000018E-2</v>
      </c>
      <c r="F9" s="36">
        <f>D9-E9</f>
        <v>3.3889999599999984E-2</v>
      </c>
      <c r="G9" s="37">
        <f>IF(F9&gt;0,1,0)</f>
        <v>1</v>
      </c>
      <c r="H9" s="36">
        <v>0.27200000000000002</v>
      </c>
      <c r="I9" s="36">
        <f>_xlfn.XLOOKUP(C9,Industry_Benchmark!$A$2:$A$82,Industry_Benchmark!$C$2:$C$82,"")</f>
        <v>0.12479999999999999</v>
      </c>
      <c r="J9" s="36">
        <f>H9-I9</f>
        <v>0.14720000000000003</v>
      </c>
      <c r="K9" s="37">
        <f>IF(J9&gt;0,1,0)</f>
        <v>1</v>
      </c>
      <c r="L9" s="35">
        <v>1.2230000000000001</v>
      </c>
      <c r="M9" s="35">
        <f>_xlfn.XLOOKUP(C9,Industry_Benchmark!$A$2:$A$82,Industry_Benchmark!$D$2:$D$82,"")</f>
        <v>1.1856</v>
      </c>
      <c r="N9" s="35">
        <f>L9-M9</f>
        <v>3.74000000000001E-2</v>
      </c>
      <c r="O9" s="35">
        <f>IF(N9&gt;0,1,0)</f>
        <v>1</v>
      </c>
      <c r="P9" s="36">
        <v>0.124560006</v>
      </c>
      <c r="Q9" s="36">
        <f>_xlfn.XLOOKUP(C9,Industry_Benchmark!$A$2:$A$82,Industry_Benchmark!$E$2:$E$82,"")</f>
        <v>5.8694001199999998E-2</v>
      </c>
      <c r="R9" s="36">
        <f>P9-Q9</f>
        <v>6.5866004800000003E-2</v>
      </c>
      <c r="S9" s="37">
        <f>IF(R9&gt;0,1,0)</f>
        <v>1</v>
      </c>
      <c r="T9" s="35">
        <v>16.606999999999999</v>
      </c>
      <c r="U9" s="35">
        <f>_xlfn.XLOOKUP(C9,Industry_Benchmark!$A$2:$A$82,Industry_Benchmark!$F$2:$F$82,"")</f>
        <v>80.509399999999999</v>
      </c>
      <c r="V9" s="35">
        <f>T9-U9</f>
        <v>-63.9024</v>
      </c>
      <c r="W9" s="35">
        <f>IF(V9&gt;0,1,0)</f>
        <v>0</v>
      </c>
      <c r="X9" s="36">
        <v>0.31947999999999999</v>
      </c>
      <c r="Y9" s="36">
        <f>_xlfn.XLOOKUP(C9,Industry_Benchmark!$A$2:$A$82,Industry_Benchmark!$G$2:$G$82,"")</f>
        <v>0.15423999999999999</v>
      </c>
      <c r="Z9" s="59">
        <f>X9-Y9</f>
        <v>0.16524</v>
      </c>
      <c r="AA9" s="35">
        <f>IF(Z9&gt;0,1,0)</f>
        <v>1</v>
      </c>
      <c r="AB9" s="60">
        <f>SUM(G9,K9,O9,S9,W9,AA9)</f>
        <v>5</v>
      </c>
      <c r="AC9" s="61">
        <f>AB9/6</f>
        <v>0.83333333333333337</v>
      </c>
      <c r="AD9" s="62" t="str" cm="1">
        <f t="array" ref="AD9">_xlfn.IFS(
AB9=6,"Excellent",
AB9=5,"Strong",
AB9=4,"Good",
AB9=3,"Average",
AB9&lt;=2,"Weak"
)</f>
        <v>Strong</v>
      </c>
    </row>
    <row r="10" spans="1:30" x14ac:dyDescent="0.3">
      <c r="A10" s="12" t="s">
        <v>200</v>
      </c>
      <c r="B10" s="10" t="s">
        <v>201</v>
      </c>
      <c r="C10" s="10" t="s">
        <v>62</v>
      </c>
      <c r="D10" s="36">
        <v>4.1220001999999999E-2</v>
      </c>
      <c r="E10" s="36">
        <f>_xlfn.XLOOKUP(C10,Industry_Benchmark!$A$2:$A$82,Industry_Benchmark!$B$2:$B$82,"")</f>
        <v>3.6041667333333326E-2</v>
      </c>
      <c r="F10" s="36">
        <f>D10-E10</f>
        <v>5.178334666666673E-3</v>
      </c>
      <c r="G10" s="37">
        <f>IF(F10&gt;0,1,0)</f>
        <v>1</v>
      </c>
      <c r="H10" s="36">
        <v>0.15</v>
      </c>
      <c r="I10" s="36">
        <f>_xlfn.XLOOKUP(C10,Industry_Benchmark!$A$2:$A$82,Industry_Benchmark!$C$2:$C$82,"")</f>
        <v>0.11366666666666668</v>
      </c>
      <c r="J10" s="36">
        <f>H10-I10</f>
        <v>3.6333333333333315E-2</v>
      </c>
      <c r="K10" s="37">
        <f>IF(J10&gt;0,1,0)</f>
        <v>1</v>
      </c>
      <c r="L10" s="35">
        <v>1.476</v>
      </c>
      <c r="M10" s="35">
        <f>_xlfn.XLOOKUP(C10,Industry_Benchmark!$A$2:$A$82,Industry_Benchmark!$D$2:$D$82,"")</f>
        <v>1.1100000000000001</v>
      </c>
      <c r="N10" s="35">
        <f>L10-M10</f>
        <v>0.36599999999999988</v>
      </c>
      <c r="O10" s="35">
        <f>IF(N10&gt;0,1,0)</f>
        <v>1</v>
      </c>
      <c r="P10" s="36">
        <v>5.3710000000000001E-2</v>
      </c>
      <c r="Q10" s="36">
        <f>_xlfn.XLOOKUP(C10,Industry_Benchmark!$A$2:$A$82,Industry_Benchmark!$E$2:$E$82,"")</f>
        <v>4.6496666166666666E-2</v>
      </c>
      <c r="R10" s="36">
        <f>P10-Q10</f>
        <v>7.2133338333333352E-3</v>
      </c>
      <c r="S10" s="37">
        <f>IF(R10&gt;0,1,0)</f>
        <v>1</v>
      </c>
      <c r="T10" s="35">
        <v>66.275999999999996</v>
      </c>
      <c r="U10" s="35">
        <f>_xlfn.XLOOKUP(C10,Industry_Benchmark!$A$2:$A$82,Industry_Benchmark!$F$2:$F$82,"")</f>
        <v>78.132333333333335</v>
      </c>
      <c r="V10" s="35">
        <f>T10-U10</f>
        <v>-11.856333333333339</v>
      </c>
      <c r="W10" s="35">
        <f>IF(V10&gt;0,1,0)</f>
        <v>0</v>
      </c>
      <c r="X10" s="36">
        <v>0.15834999999999999</v>
      </c>
      <c r="Y10" s="36">
        <f>_xlfn.XLOOKUP(C10,Industry_Benchmark!$A$2:$A$82,Industry_Benchmark!$G$2:$G$82,"")</f>
        <v>0.14621000233333331</v>
      </c>
      <c r="Z10" s="59">
        <f>X10-Y10</f>
        <v>1.213999766666668E-2</v>
      </c>
      <c r="AA10" s="35">
        <f>IF(Z10&gt;0,1,0)</f>
        <v>1</v>
      </c>
      <c r="AB10" s="60">
        <f>SUM(G10,K10,O10,S10,W10,AA10)</f>
        <v>5</v>
      </c>
      <c r="AC10" s="61">
        <f>AB10/6</f>
        <v>0.83333333333333337</v>
      </c>
      <c r="AD10" s="62" t="str" cm="1">
        <f t="array" ref="AD10">_xlfn.IFS(
AB10=6,"Excellent",
AB10=5,"Strong",
AB10=4,"Good",
AB10=3,"Average",
AB10&lt;=2,"Weak"
)</f>
        <v>Strong</v>
      </c>
    </row>
    <row r="11" spans="1:30" x14ac:dyDescent="0.3">
      <c r="A11" s="12" t="s">
        <v>202</v>
      </c>
      <c r="B11" s="10" t="s">
        <v>203</v>
      </c>
      <c r="C11" s="10" t="s">
        <v>165</v>
      </c>
      <c r="D11" s="36">
        <v>9.4189993999999999E-2</v>
      </c>
      <c r="E11" s="36">
        <f>_xlfn.XLOOKUP(C11,Industry_Benchmark!$A$2:$A$82,Industry_Benchmark!$B$2:$B$82,"")</f>
        <v>8.6845711000000006E-2</v>
      </c>
      <c r="F11" s="36">
        <f>D11-E11</f>
        <v>7.3442829999999931E-3</v>
      </c>
      <c r="G11" s="37">
        <f>IF(F11&gt;0,1,0)</f>
        <v>1</v>
      </c>
      <c r="H11" s="36">
        <v>4.1000000000000002E-2</v>
      </c>
      <c r="I11" s="36">
        <f>_xlfn.XLOOKUP(C11,Industry_Benchmark!$A$2:$A$82,Industry_Benchmark!$C$2:$C$82,"")</f>
        <v>-5.5714285714285701E-3</v>
      </c>
      <c r="J11" s="36">
        <f>H11-I11</f>
        <v>4.6571428571428569E-2</v>
      </c>
      <c r="K11" s="37">
        <f>IF(J11&gt;0,1,0)</f>
        <v>1</v>
      </c>
      <c r="L11" s="35">
        <v>1.4159999999999999</v>
      </c>
      <c r="M11" s="35">
        <f>_xlfn.XLOOKUP(C11,Industry_Benchmark!$A$2:$A$82,Industry_Benchmark!$D$2:$D$82,"")</f>
        <v>1.9000000000000001</v>
      </c>
      <c r="N11" s="35">
        <f>L11-M11</f>
        <v>-0.48400000000000021</v>
      </c>
      <c r="O11" s="35">
        <f>IF(N11&gt;0,1,0)</f>
        <v>0</v>
      </c>
      <c r="P11" s="36">
        <v>9.6240000000000006E-2</v>
      </c>
      <c r="Q11" s="36">
        <f>_xlfn.XLOOKUP(C11,Industry_Benchmark!$A$2:$A$82,Industry_Benchmark!$E$2:$E$82,"")</f>
        <v>5.5819999142857138E-2</v>
      </c>
      <c r="R11" s="36">
        <f>P11-Q11</f>
        <v>4.0420000857142868E-2</v>
      </c>
      <c r="S11" s="37">
        <f>IF(R11&gt;0,1,0)</f>
        <v>1</v>
      </c>
      <c r="T11" s="35">
        <v>119.55500000000001</v>
      </c>
      <c r="U11" s="35">
        <f>_xlfn.XLOOKUP(C11,Industry_Benchmark!$A$2:$A$82,Industry_Benchmark!$F$2:$F$82,"")</f>
        <v>56.095714285714287</v>
      </c>
      <c r="V11" s="35">
        <f>T11-U11</f>
        <v>63.45928571428572</v>
      </c>
      <c r="W11" s="35">
        <f>IF(V11&gt;0,1,0)</f>
        <v>1</v>
      </c>
      <c r="X11" s="36">
        <v>0.74307000000000001</v>
      </c>
      <c r="Y11" s="36">
        <f>_xlfn.XLOOKUP(C11,Industry_Benchmark!$A$2:$A$82,Industry_Benchmark!$G$2:$G$82,"")</f>
        <v>0.33201799800000004</v>
      </c>
      <c r="Z11" s="59">
        <f>X11-Y11</f>
        <v>0.41105200199999997</v>
      </c>
      <c r="AA11" s="35">
        <f>IF(Z11&gt;0,1,0)</f>
        <v>1</v>
      </c>
      <c r="AB11" s="60">
        <f>SUM(G11,K11,O11,S11,W11,AA11)</f>
        <v>5</v>
      </c>
      <c r="AC11" s="61">
        <f>AB11/6</f>
        <v>0.83333333333333337</v>
      </c>
      <c r="AD11" s="62" t="str" cm="1">
        <f t="array" ref="AD11">_xlfn.IFS(
AB11=6,"Excellent",
AB11=5,"Strong",
AB11=4,"Good",
AB11=3,"Average",
AB11&lt;=2,"Weak"
)</f>
        <v>Strong</v>
      </c>
    </row>
    <row r="12" spans="1:30" x14ac:dyDescent="0.3">
      <c r="A12" s="12" t="s">
        <v>219</v>
      </c>
      <c r="B12" s="10" t="s">
        <v>220</v>
      </c>
      <c r="C12" s="10" t="s">
        <v>218</v>
      </c>
      <c r="D12" s="36">
        <v>0.27445000000000003</v>
      </c>
      <c r="E12" s="36">
        <f>_xlfn.XLOOKUP(C12,Industry_Benchmark!$A$2:$A$82,Industry_Benchmark!$B$2:$B$82,"")</f>
        <v>0.16090750249999999</v>
      </c>
      <c r="F12" s="36">
        <f>D12-E12</f>
        <v>0.11354249750000003</v>
      </c>
      <c r="G12" s="37">
        <f>IF(F12&gt;0,1,0)</f>
        <v>1</v>
      </c>
      <c r="H12" s="36">
        <v>0.219</v>
      </c>
      <c r="I12" s="36">
        <f>_xlfn.XLOOKUP(C12,Industry_Benchmark!$A$2:$A$82,Industry_Benchmark!$C$2:$C$82,"")</f>
        <v>0.14150000000000001</v>
      </c>
      <c r="J12" s="36">
        <f>H12-I12</f>
        <v>7.7499999999999986E-2</v>
      </c>
      <c r="K12" s="37">
        <f>IF(J12&gt;0,1,0)</f>
        <v>1</v>
      </c>
      <c r="L12" s="35">
        <v>0.77300000000000002</v>
      </c>
      <c r="M12" s="35">
        <f>_xlfn.XLOOKUP(C12,Industry_Benchmark!$A$2:$A$82,Industry_Benchmark!$D$2:$D$82,"")</f>
        <v>0.92549999999999988</v>
      </c>
      <c r="N12" s="35">
        <f>L12-M12</f>
        <v>-0.15249999999999986</v>
      </c>
      <c r="O12" s="35">
        <f>IF(N12&gt;0,1,0)</f>
        <v>0</v>
      </c>
      <c r="P12" s="36">
        <v>4.3479999999999998E-2</v>
      </c>
      <c r="Q12" s="36">
        <f>_xlfn.XLOOKUP(C12,Industry_Benchmark!$A$2:$A$82,Industry_Benchmark!$E$2:$E$82,"")</f>
        <v>3.8689999999999995E-2</v>
      </c>
      <c r="R12" s="36">
        <f>P12-Q12</f>
        <v>4.7900000000000026E-3</v>
      </c>
      <c r="S12" s="37">
        <f>IF(R12&gt;0,1,0)</f>
        <v>1</v>
      </c>
      <c r="T12" s="35">
        <v>434.983</v>
      </c>
      <c r="U12" s="35">
        <f>_xlfn.XLOOKUP(C12,Industry_Benchmark!$A$2:$A$82,Industry_Benchmark!$F$2:$F$82,"")</f>
        <v>226.1405</v>
      </c>
      <c r="V12" s="35">
        <f>T12-U12</f>
        <v>208.8425</v>
      </c>
      <c r="W12" s="35">
        <f>IF(V12&gt;0,1,0)</f>
        <v>1</v>
      </c>
      <c r="X12" s="36">
        <v>0.34477999999999998</v>
      </c>
      <c r="Y12" s="36">
        <f>_xlfn.XLOOKUP(C12,Industry_Benchmark!$A$2:$A$82,Industry_Benchmark!$G$2:$G$82,"")</f>
        <v>0.17198999999999998</v>
      </c>
      <c r="Z12" s="59">
        <f>X12-Y12</f>
        <v>0.17279</v>
      </c>
      <c r="AA12" s="35">
        <f>IF(Z12&gt;0,1,0)</f>
        <v>1</v>
      </c>
      <c r="AB12" s="60">
        <f>SUM(G12,K12,O12,S12,W12,AA12)</f>
        <v>5</v>
      </c>
      <c r="AC12" s="61">
        <f>AB12/6</f>
        <v>0.83333333333333337</v>
      </c>
      <c r="AD12" s="62" t="str" cm="1">
        <f t="array" ref="AD12">_xlfn.IFS(
AB12=6,"Excellent",
AB12=5,"Strong",
AB12=4,"Good",
AB12=3,"Average",
AB12&lt;=2,"Weak"
)</f>
        <v>Strong</v>
      </c>
    </row>
    <row r="13" spans="1:30" x14ac:dyDescent="0.3">
      <c r="A13" s="12" t="s">
        <v>227</v>
      </c>
      <c r="B13" s="10" t="s">
        <v>228</v>
      </c>
      <c r="C13" s="10" t="s">
        <v>226</v>
      </c>
      <c r="D13" s="36">
        <v>0.29852000000000001</v>
      </c>
      <c r="E13" s="36">
        <f>_xlfn.XLOOKUP(C13,Industry_Benchmark!$A$2:$A$82,Industry_Benchmark!$B$2:$B$82,"")</f>
        <v>0.16214249875</v>
      </c>
      <c r="F13" s="36">
        <f>D13-E13</f>
        <v>0.13637750125000001</v>
      </c>
      <c r="G13" s="37">
        <f>IF(F13&gt;0,1,0)</f>
        <v>1</v>
      </c>
      <c r="H13" s="36">
        <v>0.16700000000000001</v>
      </c>
      <c r="I13" s="36">
        <f>_xlfn.XLOOKUP(C13,Industry_Benchmark!$A$2:$A$82,Industry_Benchmark!$C$2:$C$82,"")</f>
        <v>0.13175000000000001</v>
      </c>
      <c r="J13" s="36">
        <f>H13-I13</f>
        <v>3.5250000000000004E-2</v>
      </c>
      <c r="K13" s="37">
        <f>IF(J13&gt;0,1,0)</f>
        <v>1</v>
      </c>
      <c r="L13" s="35">
        <v>5.0830000000000002</v>
      </c>
      <c r="M13" s="35">
        <f>_xlfn.XLOOKUP(C13,Industry_Benchmark!$A$2:$A$82,Industry_Benchmark!$D$2:$D$82,"")</f>
        <v>2.8327499999999999</v>
      </c>
      <c r="N13" s="35">
        <f>L13-M13</f>
        <v>2.2502500000000003</v>
      </c>
      <c r="O13" s="35">
        <f>IF(N13&gt;0,1,0)</f>
        <v>1</v>
      </c>
      <c r="P13" s="36">
        <v>9.2069999999999999E-2</v>
      </c>
      <c r="Q13" s="36">
        <f>_xlfn.XLOOKUP(C13,Industry_Benchmark!$A$2:$A$82,Industry_Benchmark!$E$2:$E$82,"")</f>
        <v>8.047999950000001E-2</v>
      </c>
      <c r="R13" s="36">
        <f>P13-Q13</f>
        <v>1.1590000499999989E-2</v>
      </c>
      <c r="S13" s="37">
        <f>IF(R13&gt;0,1,0)</f>
        <v>1</v>
      </c>
      <c r="T13" s="35">
        <v>0.72799999999999998</v>
      </c>
      <c r="U13" s="35">
        <f>_xlfn.XLOOKUP(C13,Industry_Benchmark!$A$2:$A$82,Industry_Benchmark!$F$2:$F$82,"")</f>
        <v>45.386000000000003</v>
      </c>
      <c r="V13" s="35">
        <f>T13-U13</f>
        <v>-44.658000000000001</v>
      </c>
      <c r="W13" s="35">
        <f>IF(V13&gt;0,1,0)</f>
        <v>0</v>
      </c>
      <c r="X13" s="36">
        <v>0.15919</v>
      </c>
      <c r="Y13" s="36">
        <f>_xlfn.XLOOKUP(C13,Industry_Benchmark!$A$2:$A$82,Industry_Benchmark!$G$2:$G$82,"")</f>
        <v>0.140782501</v>
      </c>
      <c r="Z13" s="59">
        <f>X13-Y13</f>
        <v>1.8407498999999994E-2</v>
      </c>
      <c r="AA13" s="35">
        <f>IF(Z13&gt;0,1,0)</f>
        <v>1</v>
      </c>
      <c r="AB13" s="60">
        <f>SUM(G13,K13,O13,S13,W13,AA13)</f>
        <v>5</v>
      </c>
      <c r="AC13" s="61">
        <f>AB13/6</f>
        <v>0.83333333333333337</v>
      </c>
      <c r="AD13" s="62" t="str" cm="1">
        <f t="array" ref="AD13">_xlfn.IFS(
AB13=6,"Excellent",
AB13=5,"Strong",
AB13=4,"Good",
AB13=3,"Average",
AB13&lt;=2,"Weak"
)</f>
        <v>Strong</v>
      </c>
    </row>
    <row r="14" spans="1:30" x14ac:dyDescent="0.3">
      <c r="A14" s="12" t="s">
        <v>260</v>
      </c>
      <c r="B14" s="10" t="s">
        <v>261</v>
      </c>
      <c r="C14" s="10" t="s">
        <v>187</v>
      </c>
      <c r="D14" s="36">
        <v>0.16764000000000001</v>
      </c>
      <c r="E14" s="36">
        <f>_xlfn.XLOOKUP(C14,Industry_Benchmark!$A$2:$A$82,Industry_Benchmark!$B$2:$B$82,"")</f>
        <v>0.16283</v>
      </c>
      <c r="F14" s="36">
        <f>D14-E14</f>
        <v>4.8100000000000087E-3</v>
      </c>
      <c r="G14" s="37">
        <f>IF(F14&gt;0,1,0)</f>
        <v>1</v>
      </c>
      <c r="H14" s="36">
        <v>7.0999999999999994E-2</v>
      </c>
      <c r="I14" s="36">
        <f>_xlfn.XLOOKUP(C14,Industry_Benchmark!$A$2:$A$82,Industry_Benchmark!$C$2:$C$82,"")</f>
        <v>7.8999999999999987E-2</v>
      </c>
      <c r="J14" s="36">
        <f>H14-I14</f>
        <v>-7.9999999999999932E-3</v>
      </c>
      <c r="K14" s="37">
        <f>IF(J14&gt;0,1,0)</f>
        <v>0</v>
      </c>
      <c r="L14" s="35">
        <v>1.7050000000000001</v>
      </c>
      <c r="M14" s="35">
        <f>_xlfn.XLOOKUP(C14,Industry_Benchmark!$A$2:$A$82,Industry_Benchmark!$D$2:$D$82,"")</f>
        <v>1.4965000000000002</v>
      </c>
      <c r="N14" s="35">
        <f>L14-M14</f>
        <v>0.20849999999999991</v>
      </c>
      <c r="O14" s="35">
        <f>IF(N14&gt;0,1,0)</f>
        <v>1</v>
      </c>
      <c r="P14" s="36">
        <v>0.10945000000000001</v>
      </c>
      <c r="Q14" s="36">
        <f>_xlfn.XLOOKUP(C14,Industry_Benchmark!$A$2:$A$82,Industry_Benchmark!$E$2:$E$82,"")</f>
        <v>9.1655002499999999E-2</v>
      </c>
      <c r="R14" s="36">
        <f>P14-Q14</f>
        <v>1.7794997500000007E-2</v>
      </c>
      <c r="S14" s="37">
        <f>IF(R14&gt;0,1,0)</f>
        <v>1</v>
      </c>
      <c r="T14" s="35">
        <v>130.81200000000001</v>
      </c>
      <c r="U14" s="35">
        <f>_xlfn.XLOOKUP(C14,Industry_Benchmark!$A$2:$A$82,Industry_Benchmark!$F$2:$F$82,"")</f>
        <v>126.82900000000001</v>
      </c>
      <c r="V14" s="35">
        <f>T14-U14</f>
        <v>3.9830000000000041</v>
      </c>
      <c r="W14" s="35">
        <f>IF(V14&gt;0,1,0)</f>
        <v>1</v>
      </c>
      <c r="X14" s="36">
        <v>0.44799998000000002</v>
      </c>
      <c r="Y14" s="36">
        <f>_xlfn.XLOOKUP(C14,Industry_Benchmark!$A$2:$A$82,Industry_Benchmark!$G$2:$G$82,"")</f>
        <v>0.37621999</v>
      </c>
      <c r="Z14" s="59">
        <f>X14-Y14</f>
        <v>7.1779990000000016E-2</v>
      </c>
      <c r="AA14" s="35">
        <f>IF(Z14&gt;0,1,0)</f>
        <v>1</v>
      </c>
      <c r="AB14" s="60">
        <f>SUM(G14,K14,O14,S14,W14,AA14)</f>
        <v>5</v>
      </c>
      <c r="AC14" s="61">
        <f>AB14/6</f>
        <v>0.83333333333333337</v>
      </c>
      <c r="AD14" s="62" t="str" cm="1">
        <f t="array" ref="AD14">_xlfn.IFS(
AB14=6,"Excellent",
AB14=5,"Strong",
AB14=4,"Good",
AB14=3,"Average",
AB14&lt;=2,"Weak"
)</f>
        <v>Strong</v>
      </c>
    </row>
    <row r="15" spans="1:30" x14ac:dyDescent="0.3">
      <c r="A15" s="12" t="s">
        <v>265</v>
      </c>
      <c r="B15" s="10" t="s">
        <v>266</v>
      </c>
      <c r="C15" s="10" t="s">
        <v>264</v>
      </c>
      <c r="D15" s="36">
        <v>0.15858</v>
      </c>
      <c r="E15" s="36">
        <f>_xlfn.XLOOKUP(C15,Industry_Benchmark!$A$2:$A$82,Industry_Benchmark!$B$2:$B$82,"")</f>
        <v>0.11870000133333335</v>
      </c>
      <c r="F15" s="36">
        <f>D15-E15</f>
        <v>3.9879998666666652E-2</v>
      </c>
      <c r="G15" s="37">
        <f>IF(F15&gt;0,1,0)</f>
        <v>1</v>
      </c>
      <c r="H15" s="36">
        <v>0.16300000000000001</v>
      </c>
      <c r="I15" s="36">
        <f>_xlfn.XLOOKUP(C15,Industry_Benchmark!$A$2:$A$82,Industry_Benchmark!$C$2:$C$82,"")</f>
        <v>0.1536666666666667</v>
      </c>
      <c r="J15" s="36">
        <f>H15-I15</f>
        <v>9.3333333333333046E-3</v>
      </c>
      <c r="K15" s="37">
        <f>IF(J15&gt;0,1,0)</f>
        <v>1</v>
      </c>
      <c r="L15" s="35">
        <v>1.242</v>
      </c>
      <c r="M15" s="35">
        <f>_xlfn.XLOOKUP(C15,Industry_Benchmark!$A$2:$A$82,Industry_Benchmark!$D$2:$D$82,"")</f>
        <v>1.2033333333333334</v>
      </c>
      <c r="N15" s="35">
        <f>L15-M15</f>
        <v>3.8666666666666627E-2</v>
      </c>
      <c r="O15" s="35">
        <f>IF(N15&gt;0,1,0)</f>
        <v>1</v>
      </c>
      <c r="P15" s="36">
        <v>8.8080000000000006E-2</v>
      </c>
      <c r="Q15" s="36">
        <f>_xlfn.XLOOKUP(C15,Industry_Benchmark!$A$2:$A$82,Industry_Benchmark!$E$2:$E$82,"")</f>
        <v>5.4233333333333335E-2</v>
      </c>
      <c r="R15" s="36">
        <f>P15-Q15</f>
        <v>3.3846666666666671E-2</v>
      </c>
      <c r="S15" s="37">
        <f>IF(R15&gt;0,1,0)</f>
        <v>1</v>
      </c>
      <c r="T15" s="35">
        <v>117.28700000000001</v>
      </c>
      <c r="U15" s="35">
        <f>_xlfn.XLOOKUP(C15,Industry_Benchmark!$A$2:$A$82,Industry_Benchmark!$F$2:$F$82,"")</f>
        <v>199.41466666666668</v>
      </c>
      <c r="V15" s="35">
        <f>T15-U15</f>
        <v>-82.12766666666667</v>
      </c>
      <c r="W15" s="35">
        <f>IF(V15&gt;0,1,0)</f>
        <v>0</v>
      </c>
      <c r="X15" s="36">
        <v>0.30992999999999998</v>
      </c>
      <c r="Y15" s="36">
        <f>_xlfn.XLOOKUP(C15,Industry_Benchmark!$A$2:$A$82,Industry_Benchmark!$G$2:$G$82,"")</f>
        <v>0.25839666666666666</v>
      </c>
      <c r="Z15" s="59">
        <f>X15-Y15</f>
        <v>5.153333333333332E-2</v>
      </c>
      <c r="AA15" s="35">
        <f>IF(Z15&gt;0,1,0)</f>
        <v>1</v>
      </c>
      <c r="AB15" s="60">
        <f>SUM(G15,K15,O15,S15,W15,AA15)</f>
        <v>5</v>
      </c>
      <c r="AC15" s="61">
        <f>AB15/6</f>
        <v>0.83333333333333337</v>
      </c>
      <c r="AD15" s="62" t="str" cm="1">
        <f t="array" ref="AD15">_xlfn.IFS(
AB15=6,"Excellent",
AB15=5,"Strong",
AB15=4,"Good",
AB15=3,"Average",
AB15&lt;=2,"Weak"
)</f>
        <v>Strong</v>
      </c>
    </row>
    <row r="16" spans="1:30" x14ac:dyDescent="0.3">
      <c r="A16" s="12" t="s">
        <v>272</v>
      </c>
      <c r="B16" s="10" t="s">
        <v>273</v>
      </c>
      <c r="C16" s="10" t="s">
        <v>197</v>
      </c>
      <c r="D16" s="36">
        <v>0.27072000000000002</v>
      </c>
      <c r="E16" s="36">
        <f>_xlfn.XLOOKUP(C16,Industry_Benchmark!$A$2:$A$82,Industry_Benchmark!$B$2:$B$82,"")</f>
        <v>0.29708666666666667</v>
      </c>
      <c r="F16" s="36">
        <f>D16-E16</f>
        <v>-2.6366666666666649E-2</v>
      </c>
      <c r="G16" s="37">
        <f>IF(F16&gt;0,1,0)</f>
        <v>0</v>
      </c>
      <c r="H16" s="36">
        <v>0.35499999999999998</v>
      </c>
      <c r="I16" s="36">
        <f>_xlfn.XLOOKUP(C16,Industry_Benchmark!$A$2:$A$82,Industry_Benchmark!$C$2:$C$82,"")</f>
        <v>0.33833333333333337</v>
      </c>
      <c r="J16" s="36">
        <f>H16-I16</f>
        <v>1.6666666666666607E-2</v>
      </c>
      <c r="K16" s="37">
        <f>IF(J16&gt;0,1,0)</f>
        <v>1</v>
      </c>
      <c r="L16" s="35">
        <v>3.2690000000000001</v>
      </c>
      <c r="M16" s="35">
        <f>_xlfn.XLOOKUP(C16,Industry_Benchmark!$A$2:$A$82,Industry_Benchmark!$D$2:$D$82,"")</f>
        <v>2.7476666666666669</v>
      </c>
      <c r="N16" s="35">
        <f>L16-M16</f>
        <v>0.5213333333333332</v>
      </c>
      <c r="O16" s="35">
        <f>IF(N16&gt;0,1,0)</f>
        <v>1</v>
      </c>
      <c r="P16" s="36">
        <v>0.19974001</v>
      </c>
      <c r="Q16" s="36">
        <f>_xlfn.XLOOKUP(C16,Industry_Benchmark!$A$2:$A$82,Industry_Benchmark!$E$2:$E$82,"")</f>
        <v>0.18592000333333333</v>
      </c>
      <c r="R16" s="36">
        <f>P16-Q16</f>
        <v>1.3820006666666662E-2</v>
      </c>
      <c r="S16" s="37">
        <f>IF(R16&gt;0,1,0)</f>
        <v>1</v>
      </c>
      <c r="T16" s="35">
        <v>85.83</v>
      </c>
      <c r="U16" s="35">
        <f>_xlfn.XLOOKUP(C16,Industry_Benchmark!$A$2:$A$82,Industry_Benchmark!$F$2:$F$82,"")</f>
        <v>74.865666666666669</v>
      </c>
      <c r="V16" s="35">
        <f>T16-U16</f>
        <v>10.964333333333329</v>
      </c>
      <c r="W16" s="35">
        <f>IF(V16&gt;0,1,0)</f>
        <v>1</v>
      </c>
      <c r="X16" s="36">
        <v>0.75890000000000002</v>
      </c>
      <c r="Y16" s="36">
        <f>_xlfn.XLOOKUP(C16,Industry_Benchmark!$A$2:$A$82,Industry_Benchmark!$G$2:$G$82,"")</f>
        <v>0.69937335000000012</v>
      </c>
      <c r="Z16" s="59">
        <f>X16-Y16</f>
        <v>5.9526649999999903E-2</v>
      </c>
      <c r="AA16" s="35">
        <f>IF(Z16&gt;0,1,0)</f>
        <v>1</v>
      </c>
      <c r="AB16" s="60">
        <f>SUM(G16,K16,O16,S16,W16,AA16)</f>
        <v>5</v>
      </c>
      <c r="AC16" s="61">
        <f>AB16/6</f>
        <v>0.83333333333333337</v>
      </c>
      <c r="AD16" s="62" t="str" cm="1">
        <f t="array" ref="AD16">_xlfn.IFS(
AB16=6,"Excellent",
AB16=5,"Strong",
AB16=4,"Good",
AB16=3,"Average",
AB16&lt;=2,"Weak"
)</f>
        <v>Strong</v>
      </c>
    </row>
    <row r="17" spans="1:30" x14ac:dyDescent="0.3">
      <c r="A17" s="12" t="s">
        <v>328</v>
      </c>
      <c r="B17" s="10" t="s">
        <v>329</v>
      </c>
      <c r="C17" s="10" t="s">
        <v>327</v>
      </c>
      <c r="D17" s="36">
        <v>0.10092</v>
      </c>
      <c r="E17" s="36">
        <f>_xlfn.XLOOKUP(C17,Industry_Benchmark!$A$2:$A$82,Industry_Benchmark!$B$2:$B$82,"")</f>
        <v>0.107585002</v>
      </c>
      <c r="F17" s="36">
        <f>D17-E17</f>
        <v>-6.6650020000000032E-3</v>
      </c>
      <c r="G17" s="37">
        <f>IF(F17&gt;0,1,0)</f>
        <v>0</v>
      </c>
      <c r="H17" s="36">
        <v>0.20799999999999999</v>
      </c>
      <c r="I17" s="36">
        <f>_xlfn.XLOOKUP(C17,Industry_Benchmark!$A$2:$A$82,Industry_Benchmark!$C$2:$C$82,"")</f>
        <v>0.17799999999999999</v>
      </c>
      <c r="J17" s="36">
        <f>H17-I17</f>
        <v>0.03</v>
      </c>
      <c r="K17" s="37">
        <f>IF(J17&gt;0,1,0)</f>
        <v>1</v>
      </c>
      <c r="L17" s="35">
        <v>0.77600000000000002</v>
      </c>
      <c r="M17" s="35">
        <f>_xlfn.XLOOKUP(C17,Industry_Benchmark!$A$2:$A$82,Industry_Benchmark!$D$2:$D$82,"")</f>
        <v>0.74199999999999999</v>
      </c>
      <c r="N17" s="35">
        <f>L17-M17</f>
        <v>3.400000000000003E-2</v>
      </c>
      <c r="O17" s="35">
        <f>IF(N17&gt;0,1,0)</f>
        <v>1</v>
      </c>
      <c r="P17" s="36">
        <v>7.0110000000000006E-2</v>
      </c>
      <c r="Q17" s="36">
        <f>_xlfn.XLOOKUP(C17,Industry_Benchmark!$A$2:$A$82,Industry_Benchmark!$E$2:$E$82,"")</f>
        <v>6.2375001499999999E-2</v>
      </c>
      <c r="R17" s="36">
        <f>P17-Q17</f>
        <v>7.7349985000000065E-3</v>
      </c>
      <c r="S17" s="37">
        <f>IF(R17&gt;0,1,0)</f>
        <v>1</v>
      </c>
      <c r="T17" s="35">
        <v>181.86500000000001</v>
      </c>
      <c r="U17" s="35">
        <f>_xlfn.XLOOKUP(C17,Industry_Benchmark!$A$2:$A$82,Industry_Benchmark!$F$2:$F$82,"")</f>
        <v>145.95850000000002</v>
      </c>
      <c r="V17" s="35">
        <f>T17-U17</f>
        <v>35.906499999999994</v>
      </c>
      <c r="W17" s="35">
        <f>IF(V17&gt;0,1,0)</f>
        <v>1</v>
      </c>
      <c r="X17" s="36">
        <v>0.24409</v>
      </c>
      <c r="Y17" s="36">
        <f>_xlfn.XLOOKUP(C17,Industry_Benchmark!$A$2:$A$82,Industry_Benchmark!$G$2:$G$82,"")</f>
        <v>0.19602499500000001</v>
      </c>
      <c r="Z17" s="59">
        <f>X17-Y17</f>
        <v>4.8065004999999994E-2</v>
      </c>
      <c r="AA17" s="35">
        <f>IF(Z17&gt;0,1,0)</f>
        <v>1</v>
      </c>
      <c r="AB17" s="60">
        <f>SUM(G17,K17,O17,S17,W17,AA17)</f>
        <v>5</v>
      </c>
      <c r="AC17" s="61">
        <f>AB17/6</f>
        <v>0.83333333333333337</v>
      </c>
      <c r="AD17" s="62" t="str" cm="1">
        <f t="array" ref="AD17">_xlfn.IFS(
AB17=6,"Excellent",
AB17=5,"Strong",
AB17=4,"Good",
AB17=3,"Average",
AB17&lt;=2,"Weak"
)</f>
        <v>Strong</v>
      </c>
    </row>
    <row r="18" spans="1:30" x14ac:dyDescent="0.3">
      <c r="A18" s="12" t="s">
        <v>384</v>
      </c>
      <c r="B18" s="10" t="s">
        <v>385</v>
      </c>
      <c r="C18" s="10" t="s">
        <v>71</v>
      </c>
      <c r="D18" s="36">
        <v>7.1929999999999994E-2</v>
      </c>
      <c r="E18" s="36">
        <f>_xlfn.XLOOKUP(C18,Industry_Benchmark!$A$2:$A$82,Industry_Benchmark!$B$2:$B$82,"")</f>
        <v>4.7955999999999999E-2</v>
      </c>
      <c r="F18" s="36">
        <f>D18-E18</f>
        <v>2.3973999999999995E-2</v>
      </c>
      <c r="G18" s="37">
        <f>IF(F18&gt;0,1,0)</f>
        <v>1</v>
      </c>
      <c r="H18" s="36">
        <v>3.9E-2</v>
      </c>
      <c r="I18" s="36">
        <f>_xlfn.XLOOKUP(C18,Industry_Benchmark!$A$2:$A$82,Industry_Benchmark!$C$2:$C$82,"")</f>
        <v>7.6399999999999996E-2</v>
      </c>
      <c r="J18" s="36">
        <f>H18-I18</f>
        <v>-3.7399999999999996E-2</v>
      </c>
      <c r="K18" s="37">
        <f>IF(J18&gt;0,1,0)</f>
        <v>0</v>
      </c>
      <c r="L18" s="35">
        <v>1.077</v>
      </c>
      <c r="M18" s="35">
        <f>_xlfn.XLOOKUP(C18,Industry_Benchmark!$A$2:$A$82,Industry_Benchmark!$D$2:$D$82,"")</f>
        <v>1.0478000000000001</v>
      </c>
      <c r="N18" s="35">
        <f>L18-M18</f>
        <v>2.9199999999999893E-2</v>
      </c>
      <c r="O18" s="35">
        <f>IF(N18&gt;0,1,0)</f>
        <v>1</v>
      </c>
      <c r="P18" s="36">
        <v>7.918E-2</v>
      </c>
      <c r="Q18" s="36">
        <f>_xlfn.XLOOKUP(C18,Industry_Benchmark!$A$2:$A$82,Industry_Benchmark!$E$2:$E$82,"")</f>
        <v>7.6300002000000006E-2</v>
      </c>
      <c r="R18" s="36">
        <f>P18-Q18</f>
        <v>2.8799979999999947E-3</v>
      </c>
      <c r="S18" s="37">
        <f>IF(R18&gt;0,1,0)</f>
        <v>1</v>
      </c>
      <c r="T18" s="35">
        <v>227.684</v>
      </c>
      <c r="U18" s="35">
        <f>_xlfn.XLOOKUP(C18,Industry_Benchmark!$A$2:$A$82,Industry_Benchmark!$F$2:$F$82,"")</f>
        <v>118.09080000000002</v>
      </c>
      <c r="V18" s="35">
        <f>T18-U18</f>
        <v>109.59319999999998</v>
      </c>
      <c r="W18" s="35">
        <f>IF(V18&gt;0,1,0)</f>
        <v>1</v>
      </c>
      <c r="X18" s="36">
        <v>0.37108000000000002</v>
      </c>
      <c r="Y18" s="36">
        <f>_xlfn.XLOOKUP(C18,Industry_Benchmark!$A$2:$A$82,Industry_Benchmark!$G$2:$G$82,"")</f>
        <v>0.30520200399999997</v>
      </c>
      <c r="Z18" s="59">
        <f>X18-Y18</f>
        <v>6.587799600000005E-2</v>
      </c>
      <c r="AA18" s="35">
        <f>IF(Z18&gt;0,1,0)</f>
        <v>1</v>
      </c>
      <c r="AB18" s="60">
        <f>SUM(G18,K18,O18,S18,W18,AA18)</f>
        <v>5</v>
      </c>
      <c r="AC18" s="61">
        <f>AB18/6</f>
        <v>0.83333333333333337</v>
      </c>
      <c r="AD18" s="62" t="str" cm="1">
        <f t="array" ref="AD18">_xlfn.IFS(
AB18=6,"Excellent",
AB18=5,"Strong",
AB18=4,"Good",
AB18=3,"Average",
AB18&lt;=2,"Weak"
)</f>
        <v>Strong</v>
      </c>
    </row>
    <row r="19" spans="1:30" x14ac:dyDescent="0.3">
      <c r="A19" s="12" t="s">
        <v>398</v>
      </c>
      <c r="B19" s="10" t="s">
        <v>399</v>
      </c>
      <c r="C19" s="10" t="s">
        <v>155</v>
      </c>
      <c r="D19" s="36">
        <v>0.14593</v>
      </c>
      <c r="E19" s="36">
        <f>_xlfn.XLOOKUP(C19,Industry_Benchmark!$A$2:$A$82,Industry_Benchmark!$B$2:$B$82,"")</f>
        <v>0.13919999833333332</v>
      </c>
      <c r="F19" s="36">
        <f>D19-E19</f>
        <v>6.7300016666666795E-3</v>
      </c>
      <c r="G19" s="37">
        <f>IF(F19&gt;0,1,0)</f>
        <v>1</v>
      </c>
      <c r="H19" s="36">
        <v>0.13700000000000001</v>
      </c>
      <c r="I19" s="36">
        <f>_xlfn.XLOOKUP(C19,Industry_Benchmark!$A$2:$A$82,Industry_Benchmark!$C$2:$C$82,"")</f>
        <v>3.0333333333333337E-2</v>
      </c>
      <c r="J19" s="36">
        <f>H19-I19</f>
        <v>0.10666666666666667</v>
      </c>
      <c r="K19" s="37">
        <f>IF(J19&gt;0,1,0)</f>
        <v>1</v>
      </c>
      <c r="L19" s="35">
        <v>0.58099999999999996</v>
      </c>
      <c r="M19" s="35">
        <f>_xlfn.XLOOKUP(C19,Industry_Benchmark!$A$2:$A$82,Industry_Benchmark!$D$2:$D$82,"")</f>
        <v>0.65966666666666662</v>
      </c>
      <c r="N19" s="35">
        <f>L19-M19</f>
        <v>-7.8666666666666663E-2</v>
      </c>
      <c r="O19" s="35">
        <f>IF(N19&gt;0,1,0)</f>
        <v>0</v>
      </c>
      <c r="P19" s="36">
        <v>2.5880001E-2</v>
      </c>
      <c r="Q19" s="36">
        <f>_xlfn.XLOOKUP(C19,Industry_Benchmark!$A$2:$A$82,Industry_Benchmark!$E$2:$E$82,"")</f>
        <v>2.127833375E-2</v>
      </c>
      <c r="R19" s="36">
        <f>P19-Q19</f>
        <v>4.6016672500000001E-3</v>
      </c>
      <c r="S19" s="37">
        <f>IF(R19&gt;0,1,0)</f>
        <v>1</v>
      </c>
      <c r="T19" s="35">
        <v>168.28899999999999</v>
      </c>
      <c r="U19" s="35">
        <f>_xlfn.XLOOKUP(C19,Industry_Benchmark!$A$2:$A$82,Industry_Benchmark!$F$2:$F$82,"")</f>
        <v>151.27916666666667</v>
      </c>
      <c r="V19" s="35">
        <f>T19-U19</f>
        <v>17.009833333333319</v>
      </c>
      <c r="W19" s="35">
        <f>IF(V19&gt;0,1,0)</f>
        <v>1</v>
      </c>
      <c r="X19" s="36">
        <v>0.11047999999999999</v>
      </c>
      <c r="Y19" s="36">
        <f>_xlfn.XLOOKUP(C19,Industry_Benchmark!$A$2:$A$82,Industry_Benchmark!$G$2:$G$82,"")</f>
        <v>8.0088333333333345E-2</v>
      </c>
      <c r="Z19" s="59">
        <f>X19-Y19</f>
        <v>3.039166666666665E-2</v>
      </c>
      <c r="AA19" s="35">
        <f>IF(Z19&gt;0,1,0)</f>
        <v>1</v>
      </c>
      <c r="AB19" s="60">
        <f>SUM(G19,K19,O19,S19,W19,AA19)</f>
        <v>5</v>
      </c>
      <c r="AC19" s="61">
        <f>AB19/6</f>
        <v>0.83333333333333337</v>
      </c>
      <c r="AD19" s="62" t="str" cm="1">
        <f t="array" ref="AD19">_xlfn.IFS(
AB19=6,"Excellent",
AB19=5,"Strong",
AB19=4,"Good",
AB19=3,"Average",
AB19&lt;=2,"Weak"
)</f>
        <v>Strong</v>
      </c>
    </row>
    <row r="20" spans="1:30" x14ac:dyDescent="0.3">
      <c r="A20" s="12" t="s">
        <v>400</v>
      </c>
      <c r="B20" s="10" t="s">
        <v>401</v>
      </c>
      <c r="C20" s="10" t="s">
        <v>113</v>
      </c>
      <c r="D20" s="36">
        <v>0.11547</v>
      </c>
      <c r="E20" s="36">
        <f>_xlfn.XLOOKUP(C20,Industry_Benchmark!$A$2:$A$82,Industry_Benchmark!$B$2:$B$82,"")</f>
        <v>8.1440000400000018E-2</v>
      </c>
      <c r="F20" s="36">
        <f>D20-E20</f>
        <v>3.4029999599999985E-2</v>
      </c>
      <c r="G20" s="37">
        <f>IF(F20&gt;0,1,0)</f>
        <v>1</v>
      </c>
      <c r="H20" s="36">
        <v>0.14199999999999999</v>
      </c>
      <c r="I20" s="36">
        <f>_xlfn.XLOOKUP(C20,Industry_Benchmark!$A$2:$A$82,Industry_Benchmark!$C$2:$C$82,"")</f>
        <v>0.12479999999999999</v>
      </c>
      <c r="J20" s="36">
        <f>H20-I20</f>
        <v>1.7199999999999993E-2</v>
      </c>
      <c r="K20" s="37">
        <f>IF(J20&gt;0,1,0)</f>
        <v>1</v>
      </c>
      <c r="L20" s="35">
        <v>2.08</v>
      </c>
      <c r="M20" s="35">
        <f>_xlfn.XLOOKUP(C20,Industry_Benchmark!$A$2:$A$82,Industry_Benchmark!$D$2:$D$82,"")</f>
        <v>1.1856</v>
      </c>
      <c r="N20" s="35">
        <f>L20-M20</f>
        <v>0.89440000000000008</v>
      </c>
      <c r="O20" s="35">
        <f>IF(N20&gt;0,1,0)</f>
        <v>1</v>
      </c>
      <c r="P20" s="36">
        <v>0.1009</v>
      </c>
      <c r="Q20" s="36">
        <f>_xlfn.XLOOKUP(C20,Industry_Benchmark!$A$2:$A$82,Industry_Benchmark!$E$2:$E$82,"")</f>
        <v>5.8694001199999998E-2</v>
      </c>
      <c r="R20" s="36">
        <f>P20-Q20</f>
        <v>4.2205998800000005E-2</v>
      </c>
      <c r="S20" s="37">
        <f>IF(R20&gt;0,1,0)</f>
        <v>1</v>
      </c>
      <c r="T20" s="35">
        <v>13.802</v>
      </c>
      <c r="U20" s="35">
        <f>_xlfn.XLOOKUP(C20,Industry_Benchmark!$A$2:$A$82,Industry_Benchmark!$F$2:$F$82,"")</f>
        <v>80.509399999999999</v>
      </c>
      <c r="V20" s="35">
        <f>T20-U20</f>
        <v>-66.707400000000007</v>
      </c>
      <c r="W20" s="35">
        <f>IF(V20&gt;0,1,0)</f>
        <v>0</v>
      </c>
      <c r="X20" s="36">
        <v>0.18722999000000001</v>
      </c>
      <c r="Y20" s="36">
        <f>_xlfn.XLOOKUP(C20,Industry_Benchmark!$A$2:$A$82,Industry_Benchmark!$G$2:$G$82,"")</f>
        <v>0.15423999999999999</v>
      </c>
      <c r="Z20" s="59">
        <f>X20-Y20</f>
        <v>3.2989990000000025E-2</v>
      </c>
      <c r="AA20" s="35">
        <f>IF(Z20&gt;0,1,0)</f>
        <v>1</v>
      </c>
      <c r="AB20" s="60">
        <f>SUM(G20,K20,O20,S20,W20,AA20)</f>
        <v>5</v>
      </c>
      <c r="AC20" s="61">
        <f>AB20/6</f>
        <v>0.83333333333333337</v>
      </c>
      <c r="AD20" s="62" t="str" cm="1">
        <f t="array" ref="AD20">_xlfn.IFS(
AB20=6,"Excellent",
AB20=5,"Strong",
AB20=4,"Good",
AB20=3,"Average",
AB20&lt;=2,"Weak"
)</f>
        <v>Strong</v>
      </c>
    </row>
    <row r="21" spans="1:30" x14ac:dyDescent="0.3">
      <c r="A21" s="12" t="s">
        <v>423</v>
      </c>
      <c r="B21" s="10" t="s">
        <v>424</v>
      </c>
      <c r="C21" s="10" t="s">
        <v>126</v>
      </c>
      <c r="D21" s="36">
        <v>0.22822999999999999</v>
      </c>
      <c r="E21" s="36">
        <f>_xlfn.XLOOKUP(C21,Industry_Benchmark!$A$2:$A$82,Industry_Benchmark!$B$2:$B$82,"")</f>
        <v>0.17781714214285715</v>
      </c>
      <c r="F21" s="36">
        <f>D21-E21</f>
        <v>5.0412857857142834E-2</v>
      </c>
      <c r="G21" s="37">
        <f>IF(F21&gt;0,1,0)</f>
        <v>1</v>
      </c>
      <c r="H21" s="36">
        <v>0.29799999999999999</v>
      </c>
      <c r="I21" s="36">
        <f>_xlfn.XLOOKUP(C21,Industry_Benchmark!$A$2:$A$82,Industry_Benchmark!$C$2:$C$82,"")</f>
        <v>0.16085714285714284</v>
      </c>
      <c r="J21" s="36">
        <f>H21-I21</f>
        <v>0.13714285714285715</v>
      </c>
      <c r="K21" s="37">
        <f>IF(J21&gt;0,1,0)</f>
        <v>1</v>
      </c>
      <c r="L21" s="35">
        <v>4.9749999999999996</v>
      </c>
      <c r="M21" s="35">
        <f>_xlfn.XLOOKUP(C21,Industry_Benchmark!$A$2:$A$82,Industry_Benchmark!$D$2:$D$82,"")</f>
        <v>2.5379999999999998</v>
      </c>
      <c r="N21" s="35">
        <f>L21-M21</f>
        <v>2.4369999999999998</v>
      </c>
      <c r="O21" s="35">
        <f>IF(N21&gt;0,1,0)</f>
        <v>1</v>
      </c>
      <c r="P21" s="36">
        <v>5.3609999999999998E-2</v>
      </c>
      <c r="Q21" s="36">
        <f>_xlfn.XLOOKUP(C21,Industry_Benchmark!$A$2:$A$82,Industry_Benchmark!$E$2:$E$82,"")</f>
        <v>7.492714242857143E-2</v>
      </c>
      <c r="R21" s="36">
        <f>P21-Q21</f>
        <v>-2.1317142428571433E-2</v>
      </c>
      <c r="S21" s="37">
        <f>IF(R21&gt;0,1,0)</f>
        <v>0</v>
      </c>
      <c r="T21" s="35">
        <v>88.174999999999997</v>
      </c>
      <c r="U21" s="35">
        <f>_xlfn.XLOOKUP(C21,Industry_Benchmark!$A$2:$A$82,Industry_Benchmark!$F$2:$F$82,"")</f>
        <v>50.663714285714285</v>
      </c>
      <c r="V21" s="35">
        <f>T21-U21</f>
        <v>37.511285714285712</v>
      </c>
      <c r="W21" s="35">
        <f>IF(V21&gt;0,1,0)</f>
        <v>1</v>
      </c>
      <c r="X21" s="36">
        <v>0.29119</v>
      </c>
      <c r="Y21" s="36">
        <f>_xlfn.XLOOKUP(C21,Industry_Benchmark!$A$2:$A$82,Industry_Benchmark!$G$2:$G$82,"")</f>
        <v>0.18974000000000002</v>
      </c>
      <c r="Z21" s="59">
        <f>X21-Y21</f>
        <v>0.10144999999999998</v>
      </c>
      <c r="AA21" s="35">
        <f>IF(Z21&gt;0,1,0)</f>
        <v>1</v>
      </c>
      <c r="AB21" s="60">
        <f>SUM(G21,K21,O21,S21,W21,AA21)</f>
        <v>5</v>
      </c>
      <c r="AC21" s="61">
        <f>AB21/6</f>
        <v>0.83333333333333337</v>
      </c>
      <c r="AD21" s="62" t="str" cm="1">
        <f t="array" ref="AD21">_xlfn.IFS(
AB21=6,"Excellent",
AB21=5,"Strong",
AB21=4,"Good",
AB21=3,"Average",
AB21&lt;=2,"Weak"
)</f>
        <v>Strong</v>
      </c>
    </row>
    <row r="22" spans="1:30" x14ac:dyDescent="0.3">
      <c r="A22" s="12" t="s">
        <v>429</v>
      </c>
      <c r="B22" s="10" t="s">
        <v>430</v>
      </c>
      <c r="C22" s="10" t="s">
        <v>428</v>
      </c>
      <c r="D22" s="36">
        <v>0.14626001</v>
      </c>
      <c r="E22" s="36">
        <f>_xlfn.XLOOKUP(C22,Industry_Benchmark!$A$2:$A$82,Industry_Benchmark!$B$2:$B$82,"")</f>
        <v>0.15349000499999998</v>
      </c>
      <c r="F22" s="36">
        <f>D22-E22</f>
        <v>-7.2299949999999891E-3</v>
      </c>
      <c r="G22" s="37">
        <f>IF(F22&gt;0,1,0)</f>
        <v>0</v>
      </c>
      <c r="H22" s="36">
        <v>0.248</v>
      </c>
      <c r="I22" s="36">
        <f>_xlfn.XLOOKUP(C22,Industry_Benchmark!$A$2:$A$82,Industry_Benchmark!$C$2:$C$82,"")</f>
        <v>0.16600000000000001</v>
      </c>
      <c r="J22" s="36">
        <f>H22-I22</f>
        <v>8.199999999999999E-2</v>
      </c>
      <c r="K22" s="37">
        <f>IF(J22&gt;0,1,0)</f>
        <v>1</v>
      </c>
      <c r="L22" s="35">
        <v>2.4350000000000001</v>
      </c>
      <c r="M22" s="35">
        <f>_xlfn.XLOOKUP(C22,Industry_Benchmark!$A$2:$A$82,Industry_Benchmark!$D$2:$D$82,"")</f>
        <v>2.0649999999999999</v>
      </c>
      <c r="N22" s="35">
        <f>L22-M22</f>
        <v>0.37000000000000011</v>
      </c>
      <c r="O22" s="35">
        <f>IF(N22&gt;0,1,0)</f>
        <v>1</v>
      </c>
      <c r="P22" s="36">
        <v>0.10037</v>
      </c>
      <c r="Q22" s="36">
        <f>_xlfn.XLOOKUP(C22,Industry_Benchmark!$A$2:$A$82,Industry_Benchmark!$E$2:$E$82,"")</f>
        <v>9.2054997999999999E-2</v>
      </c>
      <c r="R22" s="36">
        <f>P22-Q22</f>
        <v>8.3150020000000019E-3</v>
      </c>
      <c r="S22" s="37">
        <f>IF(R22&gt;0,1,0)</f>
        <v>1</v>
      </c>
      <c r="T22" s="35">
        <v>79.179000000000002</v>
      </c>
      <c r="U22" s="35">
        <f>_xlfn.XLOOKUP(C22,Industry_Benchmark!$A$2:$A$82,Industry_Benchmark!$F$2:$F$82,"")</f>
        <v>57.782499999999999</v>
      </c>
      <c r="V22" s="35">
        <f>T22-U22</f>
        <v>21.396500000000003</v>
      </c>
      <c r="W22" s="35">
        <f>IF(V22&gt;0,1,0)</f>
        <v>1</v>
      </c>
      <c r="X22" s="36">
        <v>0.26711000000000001</v>
      </c>
      <c r="Y22" s="36">
        <f>_xlfn.XLOOKUP(C22,Industry_Benchmark!$A$2:$A$82,Industry_Benchmark!$G$2:$G$82,"")</f>
        <v>0.24948999999999999</v>
      </c>
      <c r="Z22" s="59">
        <f>X22-Y22</f>
        <v>1.7620000000000025E-2</v>
      </c>
      <c r="AA22" s="35">
        <f>IF(Z22&gt;0,1,0)</f>
        <v>1</v>
      </c>
      <c r="AB22" s="60">
        <f>SUM(G22,K22,O22,S22,W22,AA22)</f>
        <v>5</v>
      </c>
      <c r="AC22" s="61">
        <f>AB22/6</f>
        <v>0.83333333333333337</v>
      </c>
      <c r="AD22" s="62" t="str" cm="1">
        <f t="array" ref="AD22">_xlfn.IFS(
AB22=6,"Excellent",
AB22=5,"Strong",
AB22=4,"Good",
AB22=3,"Average",
AB22&lt;=2,"Weak"
)</f>
        <v>Strong</v>
      </c>
    </row>
    <row r="23" spans="1:30" x14ac:dyDescent="0.3">
      <c r="A23" s="12" t="s">
        <v>437</v>
      </c>
      <c r="B23" s="10" t="s">
        <v>438</v>
      </c>
      <c r="C23" s="10" t="s">
        <v>257</v>
      </c>
      <c r="D23" s="36">
        <v>0.16469</v>
      </c>
      <c r="E23" s="36">
        <f>_xlfn.XLOOKUP(C23,Industry_Benchmark!$A$2:$A$82,Industry_Benchmark!$B$2:$B$82,"")</f>
        <v>0.160855</v>
      </c>
      <c r="F23" s="36">
        <f>D23-E23</f>
        <v>3.8350000000000051E-3</v>
      </c>
      <c r="G23" s="37">
        <f>IF(F23&gt;0,1,0)</f>
        <v>1</v>
      </c>
      <c r="H23" s="36">
        <v>6.4000000000000001E-2</v>
      </c>
      <c r="I23" s="36">
        <f>_xlfn.XLOOKUP(C23,Industry_Benchmark!$A$2:$A$82,Industry_Benchmark!$C$2:$C$82,"")</f>
        <v>7.1000000000000008E-2</v>
      </c>
      <c r="J23" s="36">
        <f>H23-I23</f>
        <v>-7.0000000000000062E-3</v>
      </c>
      <c r="K23" s="37">
        <f>IF(J23&gt;0,1,0)</f>
        <v>0</v>
      </c>
      <c r="L23" s="35">
        <v>0.90100000000000002</v>
      </c>
      <c r="M23" s="35">
        <f>_xlfn.XLOOKUP(C23,Industry_Benchmark!$A$2:$A$82,Industry_Benchmark!$D$2:$D$82,"")</f>
        <v>0.81699999999999995</v>
      </c>
      <c r="N23" s="35">
        <f>L23-M23</f>
        <v>8.4000000000000075E-2</v>
      </c>
      <c r="O23" s="35">
        <f>IF(N23&gt;0,1,0)</f>
        <v>1</v>
      </c>
      <c r="P23" s="36">
        <v>0.13102000999999999</v>
      </c>
      <c r="Q23" s="36">
        <f>_xlfn.XLOOKUP(C23,Industry_Benchmark!$A$2:$A$82,Industry_Benchmark!$E$2:$E$82,"")</f>
        <v>8.9150006000000004E-2</v>
      </c>
      <c r="R23" s="36">
        <f>P23-Q23</f>
        <v>4.1870003999999988E-2</v>
      </c>
      <c r="S23" s="37">
        <f>IF(R23&gt;0,1,0)</f>
        <v>1</v>
      </c>
      <c r="T23" s="35">
        <v>194.98099999999999</v>
      </c>
      <c r="U23" s="35">
        <f>_xlfn.XLOOKUP(C23,Industry_Benchmark!$A$2:$A$82,Industry_Benchmark!$F$2:$F$82,"")</f>
        <v>134.4075</v>
      </c>
      <c r="V23" s="35">
        <f>T23-U23</f>
        <v>60.573499999999996</v>
      </c>
      <c r="W23" s="35">
        <f>IF(V23&gt;0,1,0)</f>
        <v>1</v>
      </c>
      <c r="X23" s="36">
        <v>0.59370999999999996</v>
      </c>
      <c r="Y23" s="36">
        <f>_xlfn.XLOOKUP(C23,Industry_Benchmark!$A$2:$A$82,Industry_Benchmark!$G$2:$G$82,"")</f>
        <v>0.37841499999999995</v>
      </c>
      <c r="Z23" s="59">
        <f>X23-Y23</f>
        <v>0.21529500000000001</v>
      </c>
      <c r="AA23" s="35">
        <f>IF(Z23&gt;0,1,0)</f>
        <v>1</v>
      </c>
      <c r="AB23" s="60">
        <f>SUM(G23,K23,O23,S23,W23,AA23)</f>
        <v>5</v>
      </c>
      <c r="AC23" s="61">
        <f>AB23/6</f>
        <v>0.83333333333333337</v>
      </c>
      <c r="AD23" s="62" t="str" cm="1">
        <f t="array" ref="AD23">_xlfn.IFS(
AB23=6,"Excellent",
AB23=5,"Strong",
AB23=4,"Good",
AB23=3,"Average",
AB23&lt;=2,"Weak"
)</f>
        <v>Strong</v>
      </c>
    </row>
    <row r="24" spans="1:30" x14ac:dyDescent="0.3">
      <c r="A24" s="12" t="s">
        <v>441</v>
      </c>
      <c r="B24" s="10" t="s">
        <v>442</v>
      </c>
      <c r="C24" s="10" t="s">
        <v>381</v>
      </c>
      <c r="D24" s="36">
        <v>4.8060004000000003E-2</v>
      </c>
      <c r="E24" s="36">
        <f>_xlfn.XLOOKUP(C24,Industry_Benchmark!$A$2:$A$82,Industry_Benchmark!$B$2:$B$82,"")</f>
        <v>2.3503334666666667E-2</v>
      </c>
      <c r="F24" s="36">
        <f>D24-E24</f>
        <v>2.4556669333333336E-2</v>
      </c>
      <c r="G24" s="37">
        <f>IF(F24&gt;0,1,0)</f>
        <v>1</v>
      </c>
      <c r="H24" s="36">
        <v>6.0000000000000001E-3</v>
      </c>
      <c r="I24" s="36">
        <f>_xlfn.XLOOKUP(C24,Industry_Benchmark!$A$2:$A$82,Industry_Benchmark!$C$2:$C$82,"")</f>
        <v>-1.6999999999999998E-2</v>
      </c>
      <c r="J24" s="36">
        <f>H24-I24</f>
        <v>2.3E-2</v>
      </c>
      <c r="K24" s="37">
        <f>IF(J24&gt;0,1,0)</f>
        <v>1</v>
      </c>
      <c r="L24" s="35">
        <v>0.94</v>
      </c>
      <c r="M24" s="35">
        <f>_xlfn.XLOOKUP(C24,Industry_Benchmark!$A$2:$A$82,Industry_Benchmark!$D$2:$D$82,"")</f>
        <v>0.71200000000000008</v>
      </c>
      <c r="N24" s="35">
        <f>L24-M24</f>
        <v>0.22799999999999987</v>
      </c>
      <c r="O24" s="35">
        <f>IF(N24&gt;0,1,0)</f>
        <v>1</v>
      </c>
      <c r="P24" s="36">
        <v>2.479E-2</v>
      </c>
      <c r="Q24" s="36">
        <f>_xlfn.XLOOKUP(C24,Industry_Benchmark!$A$2:$A$82,Industry_Benchmark!$E$2:$E$82,"")</f>
        <v>2.2789999333333335E-2</v>
      </c>
      <c r="R24" s="36">
        <f>P24-Q24</f>
        <v>2.0000006666666646E-3</v>
      </c>
      <c r="S24" s="37">
        <f>IF(R24&gt;0,1,0)</f>
        <v>1</v>
      </c>
      <c r="T24" s="35">
        <v>121.723</v>
      </c>
      <c r="U24" s="35">
        <f>_xlfn.XLOOKUP(C24,Industry_Benchmark!$A$2:$A$82,Industry_Benchmark!$F$2:$F$82,"")</f>
        <v>123.89433333333334</v>
      </c>
      <c r="V24" s="35">
        <f>T24-U24</f>
        <v>-2.1713333333333367</v>
      </c>
      <c r="W24" s="35">
        <f>IF(V24&gt;0,1,0)</f>
        <v>0</v>
      </c>
      <c r="X24" s="36">
        <v>5.4089999999999999E-2</v>
      </c>
      <c r="Y24" s="36">
        <f>_xlfn.XLOOKUP(C24,Industry_Benchmark!$A$2:$A$82,Industry_Benchmark!$G$2:$G$82,"")</f>
        <v>1.920666666666667E-2</v>
      </c>
      <c r="Z24" s="59">
        <f>X24-Y24</f>
        <v>3.4883333333333329E-2</v>
      </c>
      <c r="AA24" s="35">
        <f>IF(Z24&gt;0,1,0)</f>
        <v>1</v>
      </c>
      <c r="AB24" s="60">
        <f>SUM(G24,K24,O24,S24,W24,AA24)</f>
        <v>5</v>
      </c>
      <c r="AC24" s="61">
        <f>AB24/6</f>
        <v>0.83333333333333337</v>
      </c>
      <c r="AD24" s="62" t="str" cm="1">
        <f t="array" ref="AD24">_xlfn.IFS(
AB24=6,"Excellent",
AB24=5,"Strong",
AB24=4,"Good",
AB24=3,"Average",
AB24&lt;=2,"Weak"
)</f>
        <v>Strong</v>
      </c>
    </row>
    <row r="25" spans="1:30" x14ac:dyDescent="0.3">
      <c r="A25" s="12" t="s">
        <v>448</v>
      </c>
      <c r="B25" s="10" t="s">
        <v>449</v>
      </c>
      <c r="C25" s="10" t="s">
        <v>447</v>
      </c>
      <c r="D25" s="36">
        <v>0.28300999999999998</v>
      </c>
      <c r="E25" s="36">
        <f>_xlfn.XLOOKUP(C25,Industry_Benchmark!$A$2:$A$82,Industry_Benchmark!$B$2:$B$82,"")</f>
        <v>0.19272</v>
      </c>
      <c r="F25" s="36">
        <f>D25-E25</f>
        <v>9.0289999999999981E-2</v>
      </c>
      <c r="G25" s="37">
        <f>IF(F25&gt;0,1,0)</f>
        <v>1</v>
      </c>
      <c r="H25" s="36">
        <v>0.23699999999999999</v>
      </c>
      <c r="I25" s="36">
        <f>_xlfn.XLOOKUP(C25,Industry_Benchmark!$A$2:$A$82,Industry_Benchmark!$C$2:$C$82,"")</f>
        <v>0.16499999999999998</v>
      </c>
      <c r="J25" s="36">
        <f>H25-I25</f>
        <v>7.2000000000000008E-2</v>
      </c>
      <c r="K25" s="37">
        <f>IF(J25&gt;0,1,0)</f>
        <v>1</v>
      </c>
      <c r="L25" s="35">
        <v>5.0640000000000001</v>
      </c>
      <c r="M25" s="35">
        <f>_xlfn.XLOOKUP(C25,Industry_Benchmark!$A$2:$A$82,Industry_Benchmark!$D$2:$D$82,"")</f>
        <v>2.9130000000000003</v>
      </c>
      <c r="N25" s="35">
        <f>L25-M25</f>
        <v>2.1509999999999998</v>
      </c>
      <c r="O25" s="35">
        <f>IF(N25&gt;0,1,0)</f>
        <v>1</v>
      </c>
      <c r="P25" s="36">
        <v>0.10855999600000001</v>
      </c>
      <c r="Q25" s="36">
        <f>_xlfn.XLOOKUP(C25,Industry_Benchmark!$A$2:$A$82,Industry_Benchmark!$E$2:$E$82,"")</f>
        <v>0.10383499800000001</v>
      </c>
      <c r="R25" s="36">
        <f>P25-Q25</f>
        <v>4.7249979999999941E-3</v>
      </c>
      <c r="S25" s="37">
        <f>IF(R25&gt;0,1,0)</f>
        <v>1</v>
      </c>
      <c r="T25" s="35">
        <v>1.5940000000000001</v>
      </c>
      <c r="U25" s="35">
        <f>_xlfn.XLOOKUP(C25,Industry_Benchmark!$A$2:$A$82,Industry_Benchmark!$F$2:$F$82,"")</f>
        <v>0.79700000000000004</v>
      </c>
      <c r="V25" s="35">
        <f>T25-U25</f>
        <v>0.79700000000000004</v>
      </c>
      <c r="W25" s="35">
        <f>IF(V25&gt;0,1,0)</f>
        <v>1</v>
      </c>
      <c r="X25" s="36">
        <v>0.22579001000000001</v>
      </c>
      <c r="Y25" s="36">
        <f>_xlfn.XLOOKUP(C25,Industry_Benchmark!$A$2:$A$82,Industry_Benchmark!$G$2:$G$82,"")</f>
        <v>0.22579001000000001</v>
      </c>
      <c r="Z25" s="59">
        <f>X25-Y25</f>
        <v>0</v>
      </c>
      <c r="AA25" s="35">
        <f>IF(Z25&gt;0,1,0)</f>
        <v>0</v>
      </c>
      <c r="AB25" s="60">
        <f>SUM(G25,K25,O25,S25,W25,AA25)</f>
        <v>5</v>
      </c>
      <c r="AC25" s="61">
        <f>AB25/6</f>
        <v>0.83333333333333337</v>
      </c>
      <c r="AD25" s="62" t="str" cm="1">
        <f t="array" ref="AD25">_xlfn.IFS(
AB25=6,"Excellent",
AB25=5,"Strong",
AB25=4,"Good",
AB25=3,"Average",
AB25&lt;=2,"Weak"
)</f>
        <v>Strong</v>
      </c>
    </row>
    <row r="26" spans="1:30" x14ac:dyDescent="0.3">
      <c r="A26" s="12" t="s">
        <v>456</v>
      </c>
      <c r="B26" s="10" t="s">
        <v>457</v>
      </c>
      <c r="C26" s="10" t="s">
        <v>455</v>
      </c>
      <c r="D26" s="36">
        <v>0.155</v>
      </c>
      <c r="E26" s="36">
        <f>_xlfn.XLOOKUP(C26,Industry_Benchmark!$A$2:$A$82,Industry_Benchmark!$B$2:$B$82,"")</f>
        <v>0.13438</v>
      </c>
      <c r="F26" s="36">
        <f>D26-E26</f>
        <v>2.0619999999999999E-2</v>
      </c>
      <c r="G26" s="37">
        <f>IF(F26&gt;0,1,0)</f>
        <v>1</v>
      </c>
      <c r="H26" s="36">
        <v>9.4E-2</v>
      </c>
      <c r="I26" s="36">
        <f>_xlfn.XLOOKUP(C26,Industry_Benchmark!$A$2:$A$82,Industry_Benchmark!$C$2:$C$82,"")</f>
        <v>0.121</v>
      </c>
      <c r="J26" s="36">
        <f>H26-I26</f>
        <v>-2.6999999999999996E-2</v>
      </c>
      <c r="K26" s="37">
        <f>IF(J26&gt;0,1,0)</f>
        <v>0</v>
      </c>
      <c r="L26" s="35">
        <v>1.2190000000000001</v>
      </c>
      <c r="M26" s="35">
        <f>_xlfn.XLOOKUP(C26,Industry_Benchmark!$A$2:$A$82,Industry_Benchmark!$D$2:$D$82,"")</f>
        <v>1.1850000000000001</v>
      </c>
      <c r="N26" s="35">
        <f>L26-M26</f>
        <v>3.400000000000003E-2</v>
      </c>
      <c r="O26" s="35">
        <f>IF(N26&gt;0,1,0)</f>
        <v>1</v>
      </c>
      <c r="P26" s="36">
        <v>0.111049995</v>
      </c>
      <c r="Q26" s="36">
        <f>_xlfn.XLOOKUP(C26,Industry_Benchmark!$A$2:$A$82,Industry_Benchmark!$E$2:$E$82,"")</f>
        <v>6.6809997499999996E-2</v>
      </c>
      <c r="R26" s="36">
        <f>P26-Q26</f>
        <v>4.4239997500000003E-2</v>
      </c>
      <c r="S26" s="37">
        <f>IF(R26&gt;0,1,0)</f>
        <v>1</v>
      </c>
      <c r="T26" s="35">
        <v>73.584999999999994</v>
      </c>
      <c r="U26" s="35">
        <f>_xlfn.XLOOKUP(C26,Industry_Benchmark!$A$2:$A$82,Industry_Benchmark!$F$2:$F$82,"")</f>
        <v>58.378999999999998</v>
      </c>
      <c r="V26" s="35">
        <f>T26-U26</f>
        <v>15.205999999999996</v>
      </c>
      <c r="W26" s="35">
        <f>IF(V26&gt;0,1,0)</f>
        <v>1</v>
      </c>
      <c r="X26" s="36">
        <v>0.32173002000000001</v>
      </c>
      <c r="Y26" s="36">
        <f>_xlfn.XLOOKUP(C26,Industry_Benchmark!$A$2:$A$82,Industry_Benchmark!$G$2:$G$82,"")</f>
        <v>0.17845501</v>
      </c>
      <c r="Z26" s="59">
        <f>X26-Y26</f>
        <v>0.14327501000000001</v>
      </c>
      <c r="AA26" s="35">
        <f>IF(Z26&gt;0,1,0)</f>
        <v>1</v>
      </c>
      <c r="AB26" s="60">
        <f>SUM(G26,K26,O26,S26,W26,AA26)</f>
        <v>5</v>
      </c>
      <c r="AC26" s="61">
        <f>AB26/6</f>
        <v>0.83333333333333337</v>
      </c>
      <c r="AD26" s="62" t="str" cm="1">
        <f t="array" ref="AD26">_xlfn.IFS(
AB26=6,"Excellent",
AB26=5,"Strong",
AB26=4,"Good",
AB26=3,"Average",
AB26&lt;=2,"Weak"
)</f>
        <v>Strong</v>
      </c>
    </row>
    <row r="27" spans="1:30" x14ac:dyDescent="0.3">
      <c r="A27" s="12" t="s">
        <v>489</v>
      </c>
      <c r="B27" s="10" t="s">
        <v>490</v>
      </c>
      <c r="C27" s="10" t="s">
        <v>182</v>
      </c>
      <c r="D27" s="36">
        <v>0.11572</v>
      </c>
      <c r="E27" s="36">
        <f>_xlfn.XLOOKUP(C27,Industry_Benchmark!$A$2:$A$82,Industry_Benchmark!$B$2:$B$82,"")</f>
        <v>0.11456799980000001</v>
      </c>
      <c r="F27" s="36">
        <f>D27-E27</f>
        <v>1.152000199999989E-3</v>
      </c>
      <c r="G27" s="37">
        <f>IF(F27&gt;0,1,0)</f>
        <v>1</v>
      </c>
      <c r="H27" s="36">
        <v>2.141</v>
      </c>
      <c r="I27" s="36">
        <f>_xlfn.XLOOKUP(C27,Industry_Benchmark!$A$2:$A$82,Industry_Benchmark!$C$2:$C$82,"")</f>
        <v>1.5185999999999999</v>
      </c>
      <c r="J27" s="36">
        <f>H27-I27</f>
        <v>0.62240000000000006</v>
      </c>
      <c r="K27" s="37">
        <f>IF(J27&gt;0,1,0)</f>
        <v>1</v>
      </c>
      <c r="L27" s="35">
        <v>1.206</v>
      </c>
      <c r="M27" s="35">
        <f>_xlfn.XLOOKUP(C27,Industry_Benchmark!$A$2:$A$82,Industry_Benchmark!$D$2:$D$82,"")</f>
        <v>1.4501999999999999</v>
      </c>
      <c r="N27" s="35">
        <f>L27-M27</f>
        <v>-0.24419999999999997</v>
      </c>
      <c r="O27" s="35">
        <f>IF(N27&gt;0,1,0)</f>
        <v>0</v>
      </c>
      <c r="P27" s="36">
        <v>0.17560999999999999</v>
      </c>
      <c r="Q27" s="36">
        <f>_xlfn.XLOOKUP(C27,Industry_Benchmark!$A$2:$A$82,Industry_Benchmark!$E$2:$E$82,"")</f>
        <v>9.155399979999998E-2</v>
      </c>
      <c r="R27" s="36">
        <f>P27-Q27</f>
        <v>8.4056000200000008E-2</v>
      </c>
      <c r="S27" s="37">
        <f>IF(R27&gt;0,1,0)</f>
        <v>1</v>
      </c>
      <c r="T27" s="35">
        <v>74.781999999999996</v>
      </c>
      <c r="U27" s="35">
        <f>_xlfn.XLOOKUP(C27,Industry_Benchmark!$A$2:$A$82,Industry_Benchmark!$F$2:$F$82,"")</f>
        <v>71.088200000000001</v>
      </c>
      <c r="V27" s="35">
        <f>T27-U27</f>
        <v>3.693799999999996</v>
      </c>
      <c r="W27" s="35">
        <f>IF(V27&gt;0,1,0)</f>
        <v>1</v>
      </c>
      <c r="X27" s="36">
        <v>0.20444000000000001</v>
      </c>
      <c r="Y27" s="36">
        <f>_xlfn.XLOOKUP(C27,Industry_Benchmark!$A$2:$A$82,Industry_Benchmark!$G$2:$G$82,"")</f>
        <v>0.13806800200000002</v>
      </c>
      <c r="Z27" s="59">
        <f>X27-Y27</f>
        <v>6.6371997999999988E-2</v>
      </c>
      <c r="AA27" s="35">
        <f>IF(Z27&gt;0,1,0)</f>
        <v>1</v>
      </c>
      <c r="AB27" s="60">
        <f>SUM(G27,K27,O27,S27,W27,AA27)</f>
        <v>5</v>
      </c>
      <c r="AC27" s="61">
        <f>AB27/6</f>
        <v>0.83333333333333337</v>
      </c>
      <c r="AD27" s="62" t="str" cm="1">
        <f t="array" ref="AD27">_xlfn.IFS(
AB27=6,"Excellent",
AB27=5,"Strong",
AB27=4,"Good",
AB27=3,"Average",
AB27&lt;=2,"Weak"
)</f>
        <v>Strong</v>
      </c>
    </row>
    <row r="28" spans="1:30" x14ac:dyDescent="0.3">
      <c r="A28" s="12" t="s">
        <v>504</v>
      </c>
      <c r="B28" s="10" t="s">
        <v>505</v>
      </c>
      <c r="C28" s="10" t="s">
        <v>402</v>
      </c>
      <c r="D28" s="36">
        <v>0.12020001</v>
      </c>
      <c r="E28" s="36">
        <f>_xlfn.XLOOKUP(C28,Industry_Benchmark!$A$2:$A$82,Industry_Benchmark!$B$2:$B$82,"")</f>
        <v>0.10389000500000001</v>
      </c>
      <c r="F28" s="36">
        <f>D28-E28</f>
        <v>1.6310004999999989E-2</v>
      </c>
      <c r="G28" s="37">
        <f>IF(F28&gt;0,1,0)</f>
        <v>1</v>
      </c>
      <c r="H28" s="36">
        <v>6.5000000000000002E-2</v>
      </c>
      <c r="I28" s="36">
        <f>_xlfn.XLOOKUP(C28,Industry_Benchmark!$A$2:$A$82,Industry_Benchmark!$C$2:$C$82,"")</f>
        <v>2.35E-2</v>
      </c>
      <c r="J28" s="36">
        <f>H28-I28</f>
        <v>4.1500000000000002E-2</v>
      </c>
      <c r="K28" s="37">
        <f>IF(J28&gt;0,1,0)</f>
        <v>1</v>
      </c>
      <c r="L28" s="35">
        <v>0.84599999999999997</v>
      </c>
      <c r="M28" s="35">
        <f>_xlfn.XLOOKUP(C28,Industry_Benchmark!$A$2:$A$82,Industry_Benchmark!$D$2:$D$82,"")</f>
        <v>0.98799999999999999</v>
      </c>
      <c r="N28" s="35">
        <f>L28-M28</f>
        <v>-0.14200000000000002</v>
      </c>
      <c r="O28" s="35">
        <f>IF(N28&gt;0,1,0)</f>
        <v>0</v>
      </c>
      <c r="P28" s="36">
        <v>6.5240000000000006E-2</v>
      </c>
      <c r="Q28" s="36">
        <f>_xlfn.XLOOKUP(C28,Industry_Benchmark!$A$2:$A$82,Industry_Benchmark!$E$2:$E$82,"")</f>
        <v>5.1325000000000003E-2</v>
      </c>
      <c r="R28" s="36">
        <f>P28-Q28</f>
        <v>1.3915000000000004E-2</v>
      </c>
      <c r="S28" s="37">
        <f>IF(R28&gt;0,1,0)</f>
        <v>1</v>
      </c>
      <c r="T28" s="35">
        <v>122.245</v>
      </c>
      <c r="U28" s="35">
        <f>_xlfn.XLOOKUP(C28,Industry_Benchmark!$A$2:$A$82,Industry_Benchmark!$F$2:$F$82,"")</f>
        <v>85.083500000000001</v>
      </c>
      <c r="V28" s="35">
        <f>T28-U28</f>
        <v>37.161500000000004</v>
      </c>
      <c r="W28" s="35">
        <f>IF(V28&gt;0,1,0)</f>
        <v>1</v>
      </c>
      <c r="X28" s="36">
        <v>0.22722999999999999</v>
      </c>
      <c r="Y28" s="36">
        <f>_xlfn.XLOOKUP(C28,Industry_Benchmark!$A$2:$A$82,Industry_Benchmark!$G$2:$G$82,"")</f>
        <v>0.13684499999999999</v>
      </c>
      <c r="Z28" s="59">
        <f>X28-Y28</f>
        <v>9.0384999999999993E-2</v>
      </c>
      <c r="AA28" s="35">
        <f>IF(Z28&gt;0,1,0)</f>
        <v>1</v>
      </c>
      <c r="AB28" s="60">
        <f>SUM(G28,K28,O28,S28,W28,AA28)</f>
        <v>5</v>
      </c>
      <c r="AC28" s="61">
        <f>AB28/6</f>
        <v>0.83333333333333337</v>
      </c>
      <c r="AD28" s="62" t="str" cm="1">
        <f t="array" ref="AD28">_xlfn.IFS(
AB28=6,"Excellent",
AB28=5,"Strong",
AB28=4,"Good",
AB28=3,"Average",
AB28&lt;=2,"Weak"
)</f>
        <v>Strong</v>
      </c>
    </row>
    <row r="29" spans="1:30" x14ac:dyDescent="0.3">
      <c r="A29" s="12" t="s">
        <v>524</v>
      </c>
      <c r="B29" s="10" t="s">
        <v>525</v>
      </c>
      <c r="C29" s="10" t="s">
        <v>245</v>
      </c>
      <c r="D29" s="36">
        <v>3.1609999999999999E-2</v>
      </c>
      <c r="E29" s="36">
        <f>_xlfn.XLOOKUP(C29,Industry_Benchmark!$A$2:$A$82,Industry_Benchmark!$B$2:$B$82,"")</f>
        <v>0.10666250150000001</v>
      </c>
      <c r="F29" s="36">
        <f>D29-E29</f>
        <v>-7.5052501500000007E-2</v>
      </c>
      <c r="G29" s="37">
        <f>IF(F29&gt;0,1,0)</f>
        <v>0</v>
      </c>
      <c r="H29" s="36">
        <v>0.187</v>
      </c>
      <c r="I29" s="36">
        <f>_xlfn.XLOOKUP(C29,Industry_Benchmark!$A$2:$A$82,Industry_Benchmark!$C$2:$C$82,"")</f>
        <v>0.12125000000000001</v>
      </c>
      <c r="J29" s="36">
        <f>H29-I29</f>
        <v>6.5749999999999989E-2</v>
      </c>
      <c r="K29" s="37">
        <f>IF(J29&gt;0,1,0)</f>
        <v>1</v>
      </c>
      <c r="L29" s="35">
        <v>0.436</v>
      </c>
      <c r="M29" s="35">
        <f>_xlfn.XLOOKUP(C29,Industry_Benchmark!$A$2:$A$82,Industry_Benchmark!$D$2:$D$82,"")</f>
        <v>0.36975000000000002</v>
      </c>
      <c r="N29" s="35">
        <f>L29-M29</f>
        <v>6.6249999999999976E-2</v>
      </c>
      <c r="O29" s="35">
        <f>IF(N29&gt;0,1,0)</f>
        <v>1</v>
      </c>
      <c r="P29" s="36">
        <v>3.8809999999999997E-2</v>
      </c>
      <c r="Q29" s="36">
        <f>_xlfn.XLOOKUP(C29,Industry_Benchmark!$A$2:$A$82,Industry_Benchmark!$E$2:$E$82,"")</f>
        <v>3.255500075E-2</v>
      </c>
      <c r="R29" s="36">
        <f>P29-Q29</f>
        <v>6.2549992499999971E-3</v>
      </c>
      <c r="S29" s="37">
        <f>IF(R29&gt;0,1,0)</f>
        <v>1</v>
      </c>
      <c r="T29" s="35">
        <v>33.600999999999999</v>
      </c>
      <c r="U29" s="35">
        <f>_xlfn.XLOOKUP(C29,Industry_Benchmark!$A$2:$A$82,Industry_Benchmark!$F$2:$F$82,"")</f>
        <v>29.932749999999999</v>
      </c>
      <c r="V29" s="35">
        <f>T29-U29</f>
        <v>3.6682500000000005</v>
      </c>
      <c r="W29" s="35">
        <f>IF(V29&gt;0,1,0)</f>
        <v>1</v>
      </c>
      <c r="X29" s="36">
        <v>0.18642998999999999</v>
      </c>
      <c r="Y29" s="36">
        <f>_xlfn.XLOOKUP(C29,Industry_Benchmark!$A$2:$A$82,Industry_Benchmark!$G$2:$G$82,"")</f>
        <v>0.16450249750000001</v>
      </c>
      <c r="Z29" s="59">
        <f>X29-Y29</f>
        <v>2.1927492499999979E-2</v>
      </c>
      <c r="AA29" s="35">
        <f>IF(Z29&gt;0,1,0)</f>
        <v>1</v>
      </c>
      <c r="AB29" s="60">
        <f>SUM(G29,K29,O29,S29,W29,AA29)</f>
        <v>5</v>
      </c>
      <c r="AC29" s="61">
        <f>AB29/6</f>
        <v>0.83333333333333337</v>
      </c>
      <c r="AD29" s="62" t="str" cm="1">
        <f t="array" ref="AD29">_xlfn.IFS(
AB29=6,"Excellent",
AB29=5,"Strong",
AB29=4,"Good",
AB29=3,"Average",
AB29&lt;=2,"Weak"
)</f>
        <v>Strong</v>
      </c>
    </row>
    <row r="30" spans="1:30" x14ac:dyDescent="0.3">
      <c r="A30" s="12" t="s">
        <v>526</v>
      </c>
      <c r="B30" s="10" t="s">
        <v>527</v>
      </c>
      <c r="C30" s="10" t="s">
        <v>155</v>
      </c>
      <c r="D30" s="36">
        <v>0.12056</v>
      </c>
      <c r="E30" s="36">
        <f>_xlfn.XLOOKUP(C30,Industry_Benchmark!$A$2:$A$82,Industry_Benchmark!$B$2:$B$82,"")</f>
        <v>0.13919999833333332</v>
      </c>
      <c r="F30" s="36">
        <f>D30-E30</f>
        <v>-1.8639998333333324E-2</v>
      </c>
      <c r="G30" s="37">
        <f>IF(F30&gt;0,1,0)</f>
        <v>0</v>
      </c>
      <c r="H30" s="36">
        <v>0.09</v>
      </c>
      <c r="I30" s="36">
        <f>_xlfn.XLOOKUP(C30,Industry_Benchmark!$A$2:$A$82,Industry_Benchmark!$C$2:$C$82,"")</f>
        <v>3.0333333333333337E-2</v>
      </c>
      <c r="J30" s="36">
        <f>H30-I30</f>
        <v>5.966666666666666E-2</v>
      </c>
      <c r="K30" s="37">
        <f>IF(J30&gt;0,1,0)</f>
        <v>1</v>
      </c>
      <c r="L30" s="35">
        <v>0.77800000000000002</v>
      </c>
      <c r="M30" s="35">
        <f>_xlfn.XLOOKUP(C30,Industry_Benchmark!$A$2:$A$82,Industry_Benchmark!$D$2:$D$82,"")</f>
        <v>0.65966666666666662</v>
      </c>
      <c r="N30" s="35">
        <f>L30-M30</f>
        <v>0.1183333333333334</v>
      </c>
      <c r="O30" s="35">
        <f>IF(N30&gt;0,1,0)</f>
        <v>1</v>
      </c>
      <c r="P30" s="36">
        <v>2.4660000000000001E-2</v>
      </c>
      <c r="Q30" s="36">
        <f>_xlfn.XLOOKUP(C30,Industry_Benchmark!$A$2:$A$82,Industry_Benchmark!$E$2:$E$82,"")</f>
        <v>2.127833375E-2</v>
      </c>
      <c r="R30" s="36">
        <f>P30-Q30</f>
        <v>3.3816662500000018E-3</v>
      </c>
      <c r="S30" s="37">
        <f>IF(R30&gt;0,1,0)</f>
        <v>1</v>
      </c>
      <c r="T30" s="35">
        <v>163.63499999999999</v>
      </c>
      <c r="U30" s="35">
        <f>_xlfn.XLOOKUP(C30,Industry_Benchmark!$A$2:$A$82,Industry_Benchmark!$F$2:$F$82,"")</f>
        <v>151.27916666666667</v>
      </c>
      <c r="V30" s="35">
        <f>T30-U30</f>
        <v>12.355833333333322</v>
      </c>
      <c r="W30" s="35">
        <f>IF(V30&gt;0,1,0)</f>
        <v>1</v>
      </c>
      <c r="X30" s="36">
        <v>0.10847</v>
      </c>
      <c r="Y30" s="36">
        <f>_xlfn.XLOOKUP(C30,Industry_Benchmark!$A$2:$A$82,Industry_Benchmark!$G$2:$G$82,"")</f>
        <v>8.0088333333333345E-2</v>
      </c>
      <c r="Z30" s="59">
        <f>X30-Y30</f>
        <v>2.8381666666666652E-2</v>
      </c>
      <c r="AA30" s="35">
        <f>IF(Z30&gt;0,1,0)</f>
        <v>1</v>
      </c>
      <c r="AB30" s="60">
        <f>SUM(G30,K30,O30,S30,W30,AA30)</f>
        <v>5</v>
      </c>
      <c r="AC30" s="61">
        <f>AB30/6</f>
        <v>0.83333333333333337</v>
      </c>
      <c r="AD30" s="62" t="str" cm="1">
        <f t="array" ref="AD30">_xlfn.IFS(
AB30=6,"Excellent",
AB30=5,"Strong",
AB30=4,"Good",
AB30=3,"Average",
AB30&lt;=2,"Weak"
)</f>
        <v>Strong</v>
      </c>
    </row>
    <row r="31" spans="1:30" x14ac:dyDescent="0.3">
      <c r="A31" s="12" t="s">
        <v>60</v>
      </c>
      <c r="B31" s="10" t="s">
        <v>61</v>
      </c>
      <c r="C31" s="10" t="s">
        <v>47</v>
      </c>
      <c r="D31" s="36">
        <v>0.33383997999999998</v>
      </c>
      <c r="E31" s="36">
        <f>_xlfn.XLOOKUP(C31,Industry_Benchmark!$A$2:$A$82,Industry_Benchmark!$B$2:$B$82,"")</f>
        <v>0.30802665999999995</v>
      </c>
      <c r="F31" s="36">
        <f>D31-E31</f>
        <v>2.5813320000000028E-2</v>
      </c>
      <c r="G31" s="37">
        <f>IF(F31&gt;0,1,0)</f>
        <v>1</v>
      </c>
      <c r="H31" s="36">
        <v>0.19900000000000001</v>
      </c>
      <c r="I31" s="36">
        <f>_xlfn.XLOOKUP(C31,Industry_Benchmark!$A$2:$A$82,Industry_Benchmark!$C$2:$C$82,"")</f>
        <v>0.28233333333333333</v>
      </c>
      <c r="J31" s="36">
        <f>H31-I31</f>
        <v>-8.3333333333333315E-2</v>
      </c>
      <c r="K31" s="37">
        <f>IF(J31&gt;0,1,0)</f>
        <v>0</v>
      </c>
      <c r="L31" s="35">
        <v>3.1539999999999999</v>
      </c>
      <c r="M31" s="35">
        <f>_xlfn.XLOOKUP(C31,Industry_Benchmark!$A$2:$A$82,Industry_Benchmark!$D$2:$D$82,"")</f>
        <v>3.0033333333333334</v>
      </c>
      <c r="N31" s="35">
        <f>L31-M31</f>
        <v>0.1506666666666665</v>
      </c>
      <c r="O31" s="35">
        <f>IF(N31&gt;0,1,0)</f>
        <v>1</v>
      </c>
      <c r="P31" s="36">
        <v>0.17965001</v>
      </c>
      <c r="Q31" s="36">
        <f>_xlfn.XLOOKUP(C31,Industry_Benchmark!$A$2:$A$82,Industry_Benchmark!$E$2:$E$82,"")</f>
        <v>0.15650333666666669</v>
      </c>
      <c r="R31" s="36">
        <f>P31-Q31</f>
        <v>2.3146673333333312E-2</v>
      </c>
      <c r="S31" s="37">
        <f>IF(R31&gt;0,1,0)</f>
        <v>1</v>
      </c>
      <c r="T31" s="35">
        <v>11.574</v>
      </c>
      <c r="U31" s="35">
        <f>_xlfn.XLOOKUP(C31,Industry_Benchmark!$A$2:$A$82,Industry_Benchmark!$F$2:$F$82,"")</f>
        <v>11.410666666666666</v>
      </c>
      <c r="V31" s="35">
        <f>T31-U31</f>
        <v>0.163333333333334</v>
      </c>
      <c r="W31" s="35">
        <f>IF(V31&gt;0,1,0)</f>
        <v>1</v>
      </c>
      <c r="X31" s="36">
        <v>0.31102000000000002</v>
      </c>
      <c r="Y31" s="36">
        <f>_xlfn.XLOOKUP(C31,Industry_Benchmark!$A$2:$A$82,Industry_Benchmark!$G$2:$G$82,"")</f>
        <v>0.31746666666666662</v>
      </c>
      <c r="Z31" s="59">
        <f>X31-Y31</f>
        <v>-6.4466666666666006E-3</v>
      </c>
      <c r="AA31" s="35">
        <f>IF(Z31&gt;0,1,0)</f>
        <v>0</v>
      </c>
      <c r="AB31" s="60">
        <f>SUM(G31,K31,O31,S31,W31,AA31)</f>
        <v>4</v>
      </c>
      <c r="AC31" s="61">
        <f>AB31/6</f>
        <v>0.66666666666666663</v>
      </c>
      <c r="AD31" s="62" t="str" cm="1">
        <f t="array" ref="AD31">_xlfn.IFS(
AB31=6,"Excellent",
AB31=5,"Strong",
AB31=4,"Good",
AB31=3,"Average",
AB31&lt;=2,"Weak"
)</f>
        <v>Good</v>
      </c>
    </row>
    <row r="32" spans="1:30" x14ac:dyDescent="0.3">
      <c r="A32" s="12" t="s">
        <v>66</v>
      </c>
      <c r="B32" s="10" t="s">
        <v>67</v>
      </c>
      <c r="C32" s="10" t="s">
        <v>65</v>
      </c>
      <c r="D32" s="36">
        <v>0.51592000000000005</v>
      </c>
      <c r="E32" s="36">
        <f>_xlfn.XLOOKUP(C32,Industry_Benchmark!$A$2:$A$82,Industry_Benchmark!$B$2:$B$82,"")</f>
        <v>0.39226666333333338</v>
      </c>
      <c r="F32" s="36">
        <f>D32-E32</f>
        <v>0.12365333666666667</v>
      </c>
      <c r="G32" s="37">
        <f>IF(F32&gt;0,1,0)</f>
        <v>1</v>
      </c>
      <c r="H32" s="36">
        <v>0.24099999999999999</v>
      </c>
      <c r="I32" s="36">
        <f>_xlfn.XLOOKUP(C32,Industry_Benchmark!$A$2:$A$82,Industry_Benchmark!$C$2:$C$82,"")</f>
        <v>0.21299999999999999</v>
      </c>
      <c r="J32" s="36">
        <f>H32-I32</f>
        <v>2.7999999999999997E-2</v>
      </c>
      <c r="K32" s="37">
        <f>IF(J32&gt;0,1,0)</f>
        <v>1</v>
      </c>
      <c r="L32" s="35">
        <v>1.395</v>
      </c>
      <c r="M32" s="35">
        <f>_xlfn.XLOOKUP(C32,Industry_Benchmark!$A$2:$A$82,Industry_Benchmark!$D$2:$D$82,"")</f>
        <v>1.327</v>
      </c>
      <c r="N32" s="35">
        <f>L32-M32</f>
        <v>6.800000000000006E-2</v>
      </c>
      <c r="O32" s="35">
        <f>IF(N32&gt;0,1,0)</f>
        <v>1</v>
      </c>
      <c r="P32" s="36">
        <v>0.13034999999999999</v>
      </c>
      <c r="Q32" s="36">
        <f>_xlfn.XLOOKUP(C32,Industry_Benchmark!$A$2:$A$82,Industry_Benchmark!$E$2:$E$82,"")</f>
        <v>0.11619666766666666</v>
      </c>
      <c r="R32" s="36">
        <f>P32-Q32</f>
        <v>1.4153332333333338E-2</v>
      </c>
      <c r="S32" s="37">
        <f>IF(R32&gt;0,1,0)</f>
        <v>1</v>
      </c>
      <c r="T32" s="35">
        <v>57.8</v>
      </c>
      <c r="U32" s="35">
        <f>_xlfn.XLOOKUP(C32,Industry_Benchmark!$A$2:$A$82,Industry_Benchmark!$F$2:$F$82,"")</f>
        <v>99.888333333333321</v>
      </c>
      <c r="V32" s="35">
        <f>T32-U32</f>
        <v>-42.088333333333324</v>
      </c>
      <c r="W32" s="35">
        <f>IF(V32&gt;0,1,0)</f>
        <v>0</v>
      </c>
      <c r="X32" s="36">
        <v>0.35584998000000001</v>
      </c>
      <c r="Y32" s="36">
        <f>_xlfn.XLOOKUP(C32,Industry_Benchmark!$A$2:$A$82,Industry_Benchmark!$G$2:$G$82,"")</f>
        <v>0.61539335666666661</v>
      </c>
      <c r="Z32" s="59">
        <f>X32-Y32</f>
        <v>-0.2595433766666666</v>
      </c>
      <c r="AA32" s="35">
        <f>IF(Z32&gt;0,1,0)</f>
        <v>0</v>
      </c>
      <c r="AB32" s="60">
        <f>SUM(G32,K32,O32,S32,W32,AA32)</f>
        <v>4</v>
      </c>
      <c r="AC32" s="61">
        <f>AB32/6</f>
        <v>0.66666666666666663</v>
      </c>
      <c r="AD32" s="62" t="str" cm="1">
        <f t="array" ref="AD32">_xlfn.IFS(
AB32=6,"Excellent",
AB32=5,"Strong",
AB32=4,"Good",
AB32=3,"Average",
AB32&lt;=2,"Weak"
)</f>
        <v>Good</v>
      </c>
    </row>
    <row r="33" spans="1:30" x14ac:dyDescent="0.3">
      <c r="A33" s="12" t="s">
        <v>91</v>
      </c>
      <c r="B33" s="10" t="s">
        <v>92</v>
      </c>
      <c r="C33" s="10" t="s">
        <v>68</v>
      </c>
      <c r="D33" s="36">
        <v>0.21515000000000001</v>
      </c>
      <c r="E33" s="36">
        <f>_xlfn.XLOOKUP(C33,Industry_Benchmark!$A$2:$A$82,Industry_Benchmark!$B$2:$B$82,"")</f>
        <v>0.21304124999999996</v>
      </c>
      <c r="F33" s="36">
        <f>D33-E33</f>
        <v>2.1087500000000481E-3</v>
      </c>
      <c r="G33" s="37">
        <f>IF(F33&gt;0,1,0)</f>
        <v>1</v>
      </c>
      <c r="H33" s="36">
        <v>0.18</v>
      </c>
      <c r="I33" s="36">
        <f>_xlfn.XLOOKUP(C33,Industry_Benchmark!$A$2:$A$82,Industry_Benchmark!$C$2:$C$82,"")</f>
        <v>0.270125</v>
      </c>
      <c r="J33" s="36">
        <f>H33-I33</f>
        <v>-9.0125000000000011E-2</v>
      </c>
      <c r="K33" s="37">
        <f>IF(J33&gt;0,1,0)</f>
        <v>0</v>
      </c>
      <c r="L33" s="35">
        <v>1.302</v>
      </c>
      <c r="M33" s="35">
        <f>_xlfn.XLOOKUP(C33,Industry_Benchmark!$A$2:$A$82,Industry_Benchmark!$D$2:$D$82,"")</f>
        <v>1.4105714285714286</v>
      </c>
      <c r="N33" s="35">
        <f>L33-M33</f>
        <v>-0.10857142857142854</v>
      </c>
      <c r="O33" s="35">
        <f>IF(N33&gt;0,1,0)</f>
        <v>0</v>
      </c>
      <c r="P33" s="36">
        <v>0.11108</v>
      </c>
      <c r="Q33" s="36">
        <f>_xlfn.XLOOKUP(C33,Industry_Benchmark!$A$2:$A$82,Industry_Benchmark!$E$2:$E$82,"")</f>
        <v>9.5184285714285721E-2</v>
      </c>
      <c r="R33" s="36">
        <f>P33-Q33</f>
        <v>1.5895714285714277E-2</v>
      </c>
      <c r="S33" s="37">
        <f>IF(R33&gt;0,1,0)</f>
        <v>1</v>
      </c>
      <c r="T33" s="35">
        <v>215.45</v>
      </c>
      <c r="U33" s="35">
        <f>_xlfn.XLOOKUP(C33,Industry_Benchmark!$A$2:$A$82,Industry_Benchmark!$F$2:$F$82,"")</f>
        <v>212.02399999999994</v>
      </c>
      <c r="V33" s="35">
        <f>T33-U33</f>
        <v>3.4260000000000446</v>
      </c>
      <c r="W33" s="35">
        <f>IF(V33&gt;0,1,0)</f>
        <v>1</v>
      </c>
      <c r="X33" s="36">
        <v>0.92237000000000002</v>
      </c>
      <c r="Y33" s="36">
        <f>_xlfn.XLOOKUP(C33,Industry_Benchmark!$A$2:$A$82,Industry_Benchmark!$G$2:$G$82,"")</f>
        <v>0.47294625624999997</v>
      </c>
      <c r="Z33" s="59">
        <f>X33-Y33</f>
        <v>0.44942374375000005</v>
      </c>
      <c r="AA33" s="35">
        <f>IF(Z33&gt;0,1,0)</f>
        <v>1</v>
      </c>
      <c r="AB33" s="60">
        <f>SUM(G33,K33,O33,S33,W33,AA33)</f>
        <v>4</v>
      </c>
      <c r="AC33" s="61">
        <f>AB33/6</f>
        <v>0.66666666666666663</v>
      </c>
      <c r="AD33" s="62" t="str" cm="1">
        <f t="array" ref="AD33">_xlfn.IFS(
AB33=6,"Excellent",
AB33=5,"Strong",
AB33=4,"Good",
AB33=3,"Average",
AB33&lt;=2,"Weak"
)</f>
        <v>Good</v>
      </c>
    </row>
    <row r="34" spans="1:30" x14ac:dyDescent="0.3">
      <c r="A34" s="12" t="s">
        <v>127</v>
      </c>
      <c r="B34" s="10" t="s">
        <v>128</v>
      </c>
      <c r="C34" s="10" t="s">
        <v>126</v>
      </c>
      <c r="D34" s="36">
        <v>0.17122000000000001</v>
      </c>
      <c r="E34" s="36">
        <f>_xlfn.XLOOKUP(C34,Industry_Benchmark!$A$2:$A$82,Industry_Benchmark!$B$2:$B$82,"")</f>
        <v>0.17781714214285715</v>
      </c>
      <c r="F34" s="36">
        <f>D34-E34</f>
        <v>-6.5971421428571431E-3</v>
      </c>
      <c r="G34" s="37">
        <f>IF(F34&gt;0,1,0)</f>
        <v>0</v>
      </c>
      <c r="H34" s="36">
        <v>0.23400000000000001</v>
      </c>
      <c r="I34" s="36">
        <f>_xlfn.XLOOKUP(C34,Industry_Benchmark!$A$2:$A$82,Industry_Benchmark!$C$2:$C$82,"")</f>
        <v>0.16085714285714284</v>
      </c>
      <c r="J34" s="36">
        <f>H34-I34</f>
        <v>7.3142857142857176E-2</v>
      </c>
      <c r="K34" s="37">
        <f>IF(J34&gt;0,1,0)</f>
        <v>1</v>
      </c>
      <c r="L34" s="35">
        <v>1.8260000000000001</v>
      </c>
      <c r="M34" s="35">
        <f>_xlfn.XLOOKUP(C34,Industry_Benchmark!$A$2:$A$82,Industry_Benchmark!$D$2:$D$82,"")</f>
        <v>2.5379999999999998</v>
      </c>
      <c r="N34" s="35">
        <f>L34-M34</f>
        <v>-0.71199999999999974</v>
      </c>
      <c r="O34" s="35">
        <f>IF(N34&gt;0,1,0)</f>
        <v>0</v>
      </c>
      <c r="P34" s="36">
        <v>7.7399999999999997E-2</v>
      </c>
      <c r="Q34" s="36">
        <f>_xlfn.XLOOKUP(C34,Industry_Benchmark!$A$2:$A$82,Industry_Benchmark!$E$2:$E$82,"")</f>
        <v>7.492714242857143E-2</v>
      </c>
      <c r="R34" s="36">
        <f>P34-Q34</f>
        <v>2.4728575714285661E-3</v>
      </c>
      <c r="S34" s="37">
        <f>IF(R34&gt;0,1,0)</f>
        <v>1</v>
      </c>
      <c r="T34" s="35">
        <v>53.112000000000002</v>
      </c>
      <c r="U34" s="35">
        <f>_xlfn.XLOOKUP(C34,Industry_Benchmark!$A$2:$A$82,Industry_Benchmark!$F$2:$F$82,"")</f>
        <v>50.663714285714285</v>
      </c>
      <c r="V34" s="35">
        <f>T34-U34</f>
        <v>2.4482857142857171</v>
      </c>
      <c r="W34" s="35">
        <f>IF(V34&gt;0,1,0)</f>
        <v>1</v>
      </c>
      <c r="X34" s="36">
        <v>0.21862000000000001</v>
      </c>
      <c r="Y34" s="36">
        <f>_xlfn.XLOOKUP(C34,Industry_Benchmark!$A$2:$A$82,Industry_Benchmark!$G$2:$G$82,"")</f>
        <v>0.18974000000000002</v>
      </c>
      <c r="Z34" s="59">
        <f>X34-Y34</f>
        <v>2.8879999999999989E-2</v>
      </c>
      <c r="AA34" s="35">
        <f>IF(Z34&gt;0,1,0)</f>
        <v>1</v>
      </c>
      <c r="AB34" s="60">
        <f>SUM(G34,K34,O34,S34,W34,AA34)</f>
        <v>4</v>
      </c>
      <c r="AC34" s="61">
        <f>AB34/6</f>
        <v>0.66666666666666663</v>
      </c>
      <c r="AD34" s="62" t="str" cm="1">
        <f t="array" ref="AD34">_xlfn.IFS(
AB34=6,"Excellent",
AB34=5,"Strong",
AB34=4,"Good",
AB34=3,"Average",
AB34&lt;=2,"Weak"
)</f>
        <v>Good</v>
      </c>
    </row>
    <row r="35" spans="1:30" x14ac:dyDescent="0.3">
      <c r="A35" s="12" t="s">
        <v>139</v>
      </c>
      <c r="B35" s="10" t="s">
        <v>140</v>
      </c>
      <c r="C35" s="10" t="s">
        <v>138</v>
      </c>
      <c r="D35" s="36">
        <v>6.8320000000000006E-2</v>
      </c>
      <c r="E35" s="36">
        <f>_xlfn.XLOOKUP(C35,Industry_Benchmark!$A$2:$A$82,Industry_Benchmark!$B$2:$B$82,"")</f>
        <v>6.1605000000000007E-2</v>
      </c>
      <c r="F35" s="36">
        <f>D35-E35</f>
        <v>6.7149999999999987E-3</v>
      </c>
      <c r="G35" s="37">
        <f>IF(F35&gt;0,1,0)</f>
        <v>1</v>
      </c>
      <c r="H35" s="36">
        <v>9.1999999999999998E-2</v>
      </c>
      <c r="I35" s="36">
        <f>_xlfn.XLOOKUP(C35,Industry_Benchmark!$A$2:$A$82,Industry_Benchmark!$C$2:$C$82,"")</f>
        <v>0.11699999999999999</v>
      </c>
      <c r="J35" s="36">
        <f>H35-I35</f>
        <v>-2.4999999999999994E-2</v>
      </c>
      <c r="K35" s="37">
        <f>IF(J35&gt;0,1,0)</f>
        <v>0</v>
      </c>
      <c r="L35" s="35">
        <v>1.476</v>
      </c>
      <c r="M35" s="35">
        <f>_xlfn.XLOOKUP(C35,Industry_Benchmark!$A$2:$A$82,Industry_Benchmark!$D$2:$D$82,"")</f>
        <v>1.4849999999999999</v>
      </c>
      <c r="N35" s="35">
        <f>L35-M35</f>
        <v>-8.999999999999897E-3</v>
      </c>
      <c r="O35" s="35">
        <f>IF(N35&gt;0,1,0)</f>
        <v>0</v>
      </c>
      <c r="P35" s="36">
        <v>7.7679999999999999E-2</v>
      </c>
      <c r="Q35" s="36">
        <f>_xlfn.XLOOKUP(C35,Industry_Benchmark!$A$2:$A$82,Industry_Benchmark!$E$2:$E$82,"")</f>
        <v>6.8404999999999994E-2</v>
      </c>
      <c r="R35" s="36">
        <f>P35-Q35</f>
        <v>9.2750000000000055E-3</v>
      </c>
      <c r="S35" s="37">
        <f>IF(R35&gt;0,1,0)</f>
        <v>1</v>
      </c>
      <c r="T35" s="35">
        <v>212.38300000000001</v>
      </c>
      <c r="U35" s="35">
        <f>_xlfn.XLOOKUP(C35,Industry_Benchmark!$A$2:$A$82,Industry_Benchmark!$F$2:$F$82,"")</f>
        <v>180.0265</v>
      </c>
      <c r="V35" s="35">
        <f>T35-U35</f>
        <v>32.356500000000011</v>
      </c>
      <c r="W35" s="35">
        <f>IF(V35&gt;0,1,0)</f>
        <v>1</v>
      </c>
      <c r="X35" s="36">
        <v>0.73033994000000002</v>
      </c>
      <c r="Y35" s="36">
        <f>_xlfn.XLOOKUP(C35,Industry_Benchmark!$A$2:$A$82,Industry_Benchmark!$G$2:$G$82,"")</f>
        <v>0.472089975</v>
      </c>
      <c r="Z35" s="59">
        <f>X35-Y35</f>
        <v>0.25824996500000003</v>
      </c>
      <c r="AA35" s="35">
        <f>IF(Z35&gt;0,1,0)</f>
        <v>1</v>
      </c>
      <c r="AB35" s="60">
        <f>SUM(G35,K35,O35,S35,W35,AA35)</f>
        <v>4</v>
      </c>
      <c r="AC35" s="61">
        <f>AB35/6</f>
        <v>0.66666666666666663</v>
      </c>
      <c r="AD35" s="62" t="str" cm="1">
        <f t="array" ref="AD35">_xlfn.IFS(
AB35=6,"Excellent",
AB35=5,"Strong",
AB35=4,"Good",
AB35=3,"Average",
AB35&lt;=2,"Weak"
)</f>
        <v>Good</v>
      </c>
    </row>
    <row r="36" spans="1:30" x14ac:dyDescent="0.3">
      <c r="A36" s="12" t="s">
        <v>144</v>
      </c>
      <c r="B36" s="10" t="s">
        <v>145</v>
      </c>
      <c r="C36" s="10" t="s">
        <v>57</v>
      </c>
      <c r="D36" s="36">
        <v>0.27714001999999999</v>
      </c>
      <c r="E36" s="36">
        <f>_xlfn.XLOOKUP(C36,Industry_Benchmark!$A$2:$A$82,Industry_Benchmark!$B$2:$B$82,"")</f>
        <v>0.24659300000000001</v>
      </c>
      <c r="F36" s="36">
        <f>D36-E36</f>
        <v>3.054701999999998E-2</v>
      </c>
      <c r="G36" s="37">
        <f>IF(F36&gt;0,1,0)</f>
        <v>1</v>
      </c>
      <c r="H36" s="36">
        <v>0.3</v>
      </c>
      <c r="I36" s="36">
        <f>_xlfn.XLOOKUP(C36,Industry_Benchmark!$A$2:$A$82,Industry_Benchmark!$C$2:$C$82,"")</f>
        <v>0.30759999999999998</v>
      </c>
      <c r="J36" s="36">
        <f>H36-I36</f>
        <v>-7.5999999999999956E-3</v>
      </c>
      <c r="K36" s="37">
        <f>IF(J36&gt;0,1,0)</f>
        <v>0</v>
      </c>
      <c r="L36" s="35">
        <v>1.6479999999999999</v>
      </c>
      <c r="M36" s="35">
        <f>_xlfn.XLOOKUP(C36,Industry_Benchmark!$A$2:$A$82,Industry_Benchmark!$D$2:$D$82,"")</f>
        <v>2.9108000000000001</v>
      </c>
      <c r="N36" s="35">
        <f>L36-M36</f>
        <v>-1.2628000000000001</v>
      </c>
      <c r="O36" s="35">
        <f>IF(N36&gt;0,1,0)</f>
        <v>0</v>
      </c>
      <c r="P36" s="36">
        <v>0.17321</v>
      </c>
      <c r="Q36" s="36">
        <f>_xlfn.XLOOKUP(C36,Industry_Benchmark!$A$2:$A$82,Industry_Benchmark!$E$2:$E$82,"")</f>
        <v>0.1215560017</v>
      </c>
      <c r="R36" s="36">
        <f>P36-Q36</f>
        <v>5.1653998300000004E-2</v>
      </c>
      <c r="S36" s="37">
        <f>IF(R36&gt;0,1,0)</f>
        <v>1</v>
      </c>
      <c r="T36" s="35">
        <v>138.97499999999999</v>
      </c>
      <c r="U36" s="35">
        <f>_xlfn.XLOOKUP(C36,Industry_Benchmark!$A$2:$A$82,Industry_Benchmark!$F$2:$F$82,"")</f>
        <v>77.073399999999992</v>
      </c>
      <c r="V36" s="35">
        <f>T36-U36</f>
        <v>61.901600000000002</v>
      </c>
      <c r="W36" s="35">
        <f>IF(V36&gt;0,1,0)</f>
        <v>1</v>
      </c>
      <c r="X36" s="36">
        <v>1.0673900000000001</v>
      </c>
      <c r="Y36" s="36">
        <f>_xlfn.XLOOKUP(C36,Industry_Benchmark!$A$2:$A$82,Industry_Benchmark!$G$2:$G$82,"")</f>
        <v>0.37541199820000004</v>
      </c>
      <c r="Z36" s="59">
        <f>X36-Y36</f>
        <v>0.69197800180000002</v>
      </c>
      <c r="AA36" s="35">
        <f>IF(Z36&gt;0,1,0)</f>
        <v>1</v>
      </c>
      <c r="AB36" s="60">
        <f>SUM(G36,K36,O36,S36,W36,AA36)</f>
        <v>4</v>
      </c>
      <c r="AC36" s="61">
        <f>AB36/6</f>
        <v>0.66666666666666663</v>
      </c>
      <c r="AD36" s="62" t="str" cm="1">
        <f t="array" ref="AD36">_xlfn.IFS(
AB36=6,"Excellent",
AB36=5,"Strong",
AB36=4,"Good",
AB36=3,"Average",
AB36&lt;=2,"Weak"
)</f>
        <v>Good</v>
      </c>
    </row>
    <row r="37" spans="1:30" x14ac:dyDescent="0.3">
      <c r="A37" s="12" t="s">
        <v>147</v>
      </c>
      <c r="B37" s="10" t="s">
        <v>148</v>
      </c>
      <c r="C37" s="10" t="s">
        <v>146</v>
      </c>
      <c r="D37" s="36">
        <v>0.29915999999999998</v>
      </c>
      <c r="E37" s="36">
        <f>_xlfn.XLOOKUP(C37,Industry_Benchmark!$A$2:$A$82,Industry_Benchmark!$B$2:$B$82,"")</f>
        <v>0.29006333333333334</v>
      </c>
      <c r="F37" s="36">
        <f>D37-E37</f>
        <v>9.0966666666666418E-3</v>
      </c>
      <c r="G37" s="37">
        <f>IF(F37&gt;0,1,0)</f>
        <v>1</v>
      </c>
      <c r="H37" s="36">
        <v>0.115</v>
      </c>
      <c r="I37" s="36">
        <f>_xlfn.XLOOKUP(C37,Industry_Benchmark!$A$2:$A$82,Industry_Benchmark!$C$2:$C$82,"")</f>
        <v>0.16533333333333333</v>
      </c>
      <c r="J37" s="36">
        <f>H37-I37</f>
        <v>-5.0333333333333327E-2</v>
      </c>
      <c r="K37" s="37">
        <f>IF(J37&gt;0,1,0)</f>
        <v>0</v>
      </c>
      <c r="L37" s="35">
        <v>0.61799999999999999</v>
      </c>
      <c r="M37" s="35">
        <f>_xlfn.XLOOKUP(C37,Industry_Benchmark!$A$2:$A$82,Industry_Benchmark!$D$2:$D$82,"")</f>
        <v>1.155</v>
      </c>
      <c r="N37" s="35">
        <f>L37-M37</f>
        <v>-0.53700000000000003</v>
      </c>
      <c r="O37" s="35">
        <f>IF(N37&gt;0,1,0)</f>
        <v>0</v>
      </c>
      <c r="P37" s="36">
        <v>9.2939994999999997E-2</v>
      </c>
      <c r="Q37" s="36">
        <f>_xlfn.XLOOKUP(C37,Industry_Benchmark!$A$2:$A$82,Industry_Benchmark!$E$2:$E$82,"")</f>
        <v>8.1653329666666663E-2</v>
      </c>
      <c r="R37" s="36">
        <f>P37-Q37</f>
        <v>1.1286665333333334E-2</v>
      </c>
      <c r="S37" s="37">
        <f>IF(R37&gt;0,1,0)</f>
        <v>1</v>
      </c>
      <c r="T37" s="35">
        <v>222.357</v>
      </c>
      <c r="U37" s="35">
        <f>_xlfn.XLOOKUP(C37,Industry_Benchmark!$A$2:$A$82,Industry_Benchmark!$F$2:$F$82,"")</f>
        <v>151.30633333333336</v>
      </c>
      <c r="V37" s="35">
        <f>T37-U37</f>
        <v>71.050666666666643</v>
      </c>
      <c r="W37" s="35">
        <f>IF(V37&gt;0,1,0)</f>
        <v>1</v>
      </c>
      <c r="X37" s="36">
        <v>0.41922999999999999</v>
      </c>
      <c r="Y37" s="36">
        <f>_xlfn.XLOOKUP(C37,Industry_Benchmark!$A$2:$A$82,Industry_Benchmark!$G$2:$G$82,"")</f>
        <v>0.30002334000000003</v>
      </c>
      <c r="Z37" s="59">
        <f>X37-Y37</f>
        <v>0.11920665999999996</v>
      </c>
      <c r="AA37" s="35">
        <f>IF(Z37&gt;0,1,0)</f>
        <v>1</v>
      </c>
      <c r="AB37" s="60">
        <f>SUM(G37,K37,O37,S37,W37,AA37)</f>
        <v>4</v>
      </c>
      <c r="AC37" s="61">
        <f>AB37/6</f>
        <v>0.66666666666666663</v>
      </c>
      <c r="AD37" s="62" t="str" cm="1">
        <f t="array" ref="AD37">_xlfn.IFS(
AB37=6,"Excellent",
AB37=5,"Strong",
AB37=4,"Good",
AB37=3,"Average",
AB37&lt;=2,"Weak"
)</f>
        <v>Good</v>
      </c>
    </row>
    <row r="38" spans="1:30" x14ac:dyDescent="0.3">
      <c r="A38" s="12" t="s">
        <v>149</v>
      </c>
      <c r="B38" s="10" t="s">
        <v>150</v>
      </c>
      <c r="C38" s="10" t="s">
        <v>57</v>
      </c>
      <c r="D38" s="36">
        <v>0.42352000000000001</v>
      </c>
      <c r="E38" s="36">
        <f>_xlfn.XLOOKUP(C38,Industry_Benchmark!$A$2:$A$82,Industry_Benchmark!$B$2:$B$82,"")</f>
        <v>0.24659300000000001</v>
      </c>
      <c r="F38" s="36">
        <f>D38-E38</f>
        <v>0.176927</v>
      </c>
      <c r="G38" s="37">
        <f>IF(F38&gt;0,1,0)</f>
        <v>1</v>
      </c>
      <c r="H38" s="36">
        <v>0.185</v>
      </c>
      <c r="I38" s="36">
        <f>_xlfn.XLOOKUP(C38,Industry_Benchmark!$A$2:$A$82,Industry_Benchmark!$C$2:$C$82,"")</f>
        <v>0.30759999999999998</v>
      </c>
      <c r="J38" s="36">
        <f>H38-I38</f>
        <v>-0.12259999999999999</v>
      </c>
      <c r="K38" s="37">
        <f>IF(J38&gt;0,1,0)</f>
        <v>0</v>
      </c>
      <c r="L38" s="35">
        <v>5.327</v>
      </c>
      <c r="M38" s="35">
        <f>_xlfn.XLOOKUP(C38,Industry_Benchmark!$A$2:$A$82,Industry_Benchmark!$D$2:$D$82,"")</f>
        <v>2.9108000000000001</v>
      </c>
      <c r="N38" s="35">
        <f>L38-M38</f>
        <v>2.4161999999999999</v>
      </c>
      <c r="O38" s="35">
        <f>IF(N38&gt;0,1,0)</f>
        <v>1</v>
      </c>
      <c r="P38" s="36">
        <v>0.25614999999999999</v>
      </c>
      <c r="Q38" s="36">
        <f>_xlfn.XLOOKUP(C38,Industry_Benchmark!$A$2:$A$82,Industry_Benchmark!$E$2:$E$82,"")</f>
        <v>0.1215560017</v>
      </c>
      <c r="R38" s="36">
        <f>P38-Q38</f>
        <v>0.13459399829999999</v>
      </c>
      <c r="S38" s="37">
        <f>IF(R38&gt;0,1,0)</f>
        <v>1</v>
      </c>
      <c r="T38" s="35">
        <v>61.546999999999997</v>
      </c>
      <c r="U38" s="35">
        <f>_xlfn.XLOOKUP(C38,Industry_Benchmark!$A$2:$A$82,Industry_Benchmark!$F$2:$F$82,"")</f>
        <v>77.073399999999992</v>
      </c>
      <c r="V38" s="35">
        <f>T38-U38</f>
        <v>-15.526399999999995</v>
      </c>
      <c r="W38" s="35">
        <f>IF(V38&gt;0,1,0)</f>
        <v>0</v>
      </c>
      <c r="X38" s="36">
        <v>0.68996000000000002</v>
      </c>
      <c r="Y38" s="36">
        <f>_xlfn.XLOOKUP(C38,Industry_Benchmark!$A$2:$A$82,Industry_Benchmark!$G$2:$G$82,"")</f>
        <v>0.37541199820000004</v>
      </c>
      <c r="Z38" s="59">
        <f>X38-Y38</f>
        <v>0.31454800179999998</v>
      </c>
      <c r="AA38" s="35">
        <f>IF(Z38&gt;0,1,0)</f>
        <v>1</v>
      </c>
      <c r="AB38" s="60">
        <f>SUM(G38,K38,O38,S38,W38,AA38)</f>
        <v>4</v>
      </c>
      <c r="AC38" s="61">
        <f>AB38/6</f>
        <v>0.66666666666666663</v>
      </c>
      <c r="AD38" s="62" t="str" cm="1">
        <f t="array" ref="AD38">_xlfn.IFS(
AB38=6,"Excellent",
AB38=5,"Strong",
AB38=4,"Good",
AB38=3,"Average",
AB38&lt;=2,"Weak"
)</f>
        <v>Good</v>
      </c>
    </row>
    <row r="39" spans="1:30" x14ac:dyDescent="0.3">
      <c r="A39" s="12" t="s">
        <v>153</v>
      </c>
      <c r="B39" s="10" t="s">
        <v>154</v>
      </c>
      <c r="C39" s="10" t="s">
        <v>98</v>
      </c>
      <c r="D39" s="36">
        <v>0.17639999000000001</v>
      </c>
      <c r="E39" s="36">
        <f>_xlfn.XLOOKUP(C39,Industry_Benchmark!$A$2:$A$82,Industry_Benchmark!$B$2:$B$82,"")</f>
        <v>0.10431499775</v>
      </c>
      <c r="F39" s="36">
        <f>D39-E39</f>
        <v>7.2084992250000007E-2</v>
      </c>
      <c r="G39" s="37">
        <f>IF(F39&gt;0,1,0)</f>
        <v>1</v>
      </c>
      <c r="H39" s="36">
        <v>0.16300000000000001</v>
      </c>
      <c r="I39" s="36">
        <f>_xlfn.XLOOKUP(C39,Industry_Benchmark!$A$2:$A$82,Industry_Benchmark!$C$2:$C$82,"")</f>
        <v>0.17549999999999999</v>
      </c>
      <c r="J39" s="36">
        <f>H39-I39</f>
        <v>-1.2499999999999983E-2</v>
      </c>
      <c r="K39" s="37">
        <f>IF(J39&gt;0,1,0)</f>
        <v>0</v>
      </c>
      <c r="L39" s="35">
        <v>1.17</v>
      </c>
      <c r="M39" s="35">
        <f>_xlfn.XLOOKUP(C39,Industry_Benchmark!$A$2:$A$82,Industry_Benchmark!$D$2:$D$82,"")</f>
        <v>0.89124999999999999</v>
      </c>
      <c r="N39" s="35">
        <f>L39-M39</f>
        <v>0.27874999999999994</v>
      </c>
      <c r="O39" s="35">
        <f>IF(N39&gt;0,1,0)</f>
        <v>1</v>
      </c>
      <c r="P39" s="36">
        <v>0.10012</v>
      </c>
      <c r="Q39" s="36">
        <f>_xlfn.XLOOKUP(C39,Industry_Benchmark!$A$2:$A$82,Industry_Benchmark!$E$2:$E$82,"")</f>
        <v>5.0625000125E-2</v>
      </c>
      <c r="R39" s="36">
        <f>P39-Q39</f>
        <v>4.9494999875000001E-2</v>
      </c>
      <c r="S39" s="37">
        <f>IF(R39&gt;0,1,0)</f>
        <v>1</v>
      </c>
      <c r="T39" s="35">
        <v>117.578</v>
      </c>
      <c r="U39" s="35">
        <f>_xlfn.XLOOKUP(C39,Industry_Benchmark!$A$2:$A$82,Industry_Benchmark!$F$2:$F$82,"")</f>
        <v>174.17824999999999</v>
      </c>
      <c r="V39" s="35">
        <f>T39-U39</f>
        <v>-56.600249999999988</v>
      </c>
      <c r="W39" s="35">
        <f>IF(V39&gt;0,1,0)</f>
        <v>0</v>
      </c>
      <c r="X39" s="36">
        <v>0.39387</v>
      </c>
      <c r="Y39" s="36">
        <f>_xlfn.XLOOKUP(C39,Industry_Benchmark!$A$2:$A$82,Industry_Benchmark!$G$2:$G$82,"")</f>
        <v>0.18733000275</v>
      </c>
      <c r="Z39" s="59">
        <f>X39-Y39</f>
        <v>0.20653999725</v>
      </c>
      <c r="AA39" s="35">
        <f>IF(Z39&gt;0,1,0)</f>
        <v>1</v>
      </c>
      <c r="AB39" s="60">
        <f>SUM(G39,K39,O39,S39,W39,AA39)</f>
        <v>4</v>
      </c>
      <c r="AC39" s="61">
        <f>AB39/6</f>
        <v>0.66666666666666663</v>
      </c>
      <c r="AD39" s="62" t="str" cm="1">
        <f t="array" ref="AD39">_xlfn.IFS(
AB39=6,"Excellent",
AB39=5,"Strong",
AB39=4,"Good",
AB39=3,"Average",
AB39&lt;=2,"Weak"
)</f>
        <v>Good</v>
      </c>
    </row>
    <row r="40" spans="1:30" x14ac:dyDescent="0.3">
      <c r="A40" s="12" t="s">
        <v>173</v>
      </c>
      <c r="B40" s="10" t="s">
        <v>174</v>
      </c>
      <c r="C40" s="10" t="s">
        <v>172</v>
      </c>
      <c r="D40" s="36">
        <v>0.29247000000000001</v>
      </c>
      <c r="E40" s="36">
        <f>_xlfn.XLOOKUP(C40,Industry_Benchmark!$A$2:$A$82,Industry_Benchmark!$B$2:$B$82,"")</f>
        <v>0.21205499999999999</v>
      </c>
      <c r="F40" s="36">
        <f>D40-E40</f>
        <v>8.0415000000000014E-2</v>
      </c>
      <c r="G40" s="37">
        <f>IF(F40&gt;0,1,0)</f>
        <v>1</v>
      </c>
      <c r="H40" s="36">
        <v>9.0999999999999998E-2</v>
      </c>
      <c r="I40" s="36">
        <f>_xlfn.XLOOKUP(C40,Industry_Benchmark!$A$2:$A$82,Industry_Benchmark!$C$2:$C$82,"")</f>
        <v>3.2500000000000001E-2</v>
      </c>
      <c r="J40" s="36">
        <f>H40-I40</f>
        <v>5.8499999999999996E-2</v>
      </c>
      <c r="K40" s="37">
        <f>IF(J40&gt;0,1,0)</f>
        <v>1</v>
      </c>
      <c r="L40" s="35">
        <v>0.998</v>
      </c>
      <c r="M40" s="35">
        <f>_xlfn.XLOOKUP(C40,Industry_Benchmark!$A$2:$A$82,Industry_Benchmark!$D$2:$D$82,"")</f>
        <v>0.87</v>
      </c>
      <c r="N40" s="35">
        <f>L40-M40</f>
        <v>0.128</v>
      </c>
      <c r="O40" s="35">
        <f>IF(N40&gt;0,1,0)</f>
        <v>1</v>
      </c>
      <c r="P40" s="36">
        <v>0.2024</v>
      </c>
      <c r="Q40" s="36">
        <f>_xlfn.XLOOKUP(C40,Industry_Benchmark!$A$2:$A$82,Industry_Benchmark!$E$2:$E$82,"")</f>
        <v>0.187360005</v>
      </c>
      <c r="R40" s="36">
        <f>P40-Q40</f>
        <v>1.5039995E-2</v>
      </c>
      <c r="S40" s="37">
        <f>IF(R40&gt;0,1,0)</f>
        <v>1</v>
      </c>
      <c r="T40" s="35">
        <v>0</v>
      </c>
      <c r="U40" s="35">
        <f>_xlfn.XLOOKUP(C40,Industry_Benchmark!$A$2:$A$82,Industry_Benchmark!$F$2:$F$82,"")</f>
        <v>0</v>
      </c>
      <c r="V40" s="35">
        <f>T40-U40</f>
        <v>0</v>
      </c>
      <c r="W40" s="35">
        <f>IF(V40&gt;0,1,0)</f>
        <v>0</v>
      </c>
      <c r="X40" s="36"/>
      <c r="Y40" s="36">
        <f>_xlfn.XLOOKUP(C40,Industry_Benchmark!$A$2:$A$82,Industry_Benchmark!$G$2:$G$82,"")</f>
        <v>2.7119799000000002</v>
      </c>
      <c r="Z40" s="59">
        <f>X40-Y40</f>
        <v>-2.7119799000000002</v>
      </c>
      <c r="AA40" s="35">
        <f>IF(Z40&gt;0,1,0)</f>
        <v>0</v>
      </c>
      <c r="AB40" s="60">
        <f>SUM(G40,K40,O40,S40,W40,AA40)</f>
        <v>4</v>
      </c>
      <c r="AC40" s="61">
        <f>AB40/6</f>
        <v>0.66666666666666663</v>
      </c>
      <c r="AD40" s="62" t="str" cm="1">
        <f t="array" ref="AD40">_xlfn.IFS(
AB40=6,"Excellent",
AB40=5,"Strong",
AB40=4,"Good",
AB40=3,"Average",
AB40&lt;=2,"Weak"
)</f>
        <v>Good</v>
      </c>
    </row>
    <row r="41" spans="1:30" x14ac:dyDescent="0.3">
      <c r="A41" s="12" t="s">
        <v>183</v>
      </c>
      <c r="B41" s="10" t="s">
        <v>184</v>
      </c>
      <c r="C41" s="10" t="s">
        <v>182</v>
      </c>
      <c r="D41" s="36">
        <v>0.17315</v>
      </c>
      <c r="E41" s="36">
        <f>_xlfn.XLOOKUP(C41,Industry_Benchmark!$A$2:$A$82,Industry_Benchmark!$B$2:$B$82,"")</f>
        <v>0.11456799980000001</v>
      </c>
      <c r="F41" s="36">
        <f>D41-E41</f>
        <v>5.8582000199999984E-2</v>
      </c>
      <c r="G41" s="37">
        <f>IF(F41&gt;0,1,0)</f>
        <v>1</v>
      </c>
      <c r="H41" s="36">
        <v>1.7709999999999999</v>
      </c>
      <c r="I41" s="36">
        <f>_xlfn.XLOOKUP(C41,Industry_Benchmark!$A$2:$A$82,Industry_Benchmark!$C$2:$C$82,"")</f>
        <v>1.5185999999999999</v>
      </c>
      <c r="J41" s="36">
        <f>H41-I41</f>
        <v>0.25239999999999996</v>
      </c>
      <c r="K41" s="37">
        <f>IF(J41&gt;0,1,0)</f>
        <v>1</v>
      </c>
      <c r="L41" s="35">
        <v>1.335</v>
      </c>
      <c r="M41" s="35">
        <f>_xlfn.XLOOKUP(C41,Industry_Benchmark!$A$2:$A$82,Industry_Benchmark!$D$2:$D$82,"")</f>
        <v>1.4501999999999999</v>
      </c>
      <c r="N41" s="35">
        <f>L41-M41</f>
        <v>-0.11519999999999997</v>
      </c>
      <c r="O41" s="35">
        <f>IF(N41&gt;0,1,0)</f>
        <v>0</v>
      </c>
      <c r="P41" s="36">
        <v>0.10439</v>
      </c>
      <c r="Q41" s="36">
        <f>_xlfn.XLOOKUP(C41,Industry_Benchmark!$A$2:$A$82,Industry_Benchmark!$E$2:$E$82,"")</f>
        <v>9.155399979999998E-2</v>
      </c>
      <c r="R41" s="36">
        <f>P41-Q41</f>
        <v>1.2836000200000017E-2</v>
      </c>
      <c r="S41" s="37">
        <f>IF(R41&gt;0,1,0)</f>
        <v>1</v>
      </c>
      <c r="T41" s="35">
        <v>45.371000000000002</v>
      </c>
      <c r="U41" s="35">
        <f>_xlfn.XLOOKUP(C41,Industry_Benchmark!$A$2:$A$82,Industry_Benchmark!$F$2:$F$82,"")</f>
        <v>71.088200000000001</v>
      </c>
      <c r="V41" s="35">
        <f>T41-U41</f>
        <v>-25.717199999999998</v>
      </c>
      <c r="W41" s="35">
        <f>IF(V41&gt;0,1,0)</f>
        <v>0</v>
      </c>
      <c r="X41" s="36">
        <v>0.21471001000000001</v>
      </c>
      <c r="Y41" s="36">
        <f>_xlfn.XLOOKUP(C41,Industry_Benchmark!$A$2:$A$82,Industry_Benchmark!$G$2:$G$82,"")</f>
        <v>0.13806800200000002</v>
      </c>
      <c r="Z41" s="59">
        <f>X41-Y41</f>
        <v>7.6642007999999984E-2</v>
      </c>
      <c r="AA41" s="35">
        <f>IF(Z41&gt;0,1,0)</f>
        <v>1</v>
      </c>
      <c r="AB41" s="60">
        <f>SUM(G41,K41,O41,S41,W41,AA41)</f>
        <v>4</v>
      </c>
      <c r="AC41" s="61">
        <f>AB41/6</f>
        <v>0.66666666666666663</v>
      </c>
      <c r="AD41" s="62" t="str" cm="1">
        <f t="array" ref="AD41">_xlfn.IFS(
AB41=6,"Excellent",
AB41=5,"Strong",
AB41=4,"Good",
AB41=3,"Average",
AB41&lt;=2,"Weak"
)</f>
        <v>Good</v>
      </c>
    </row>
    <row r="42" spans="1:30" x14ac:dyDescent="0.3">
      <c r="A42" s="12" t="s">
        <v>190</v>
      </c>
      <c r="B42" s="10" t="s">
        <v>191</v>
      </c>
      <c r="C42" s="10" t="s">
        <v>68</v>
      </c>
      <c r="D42" s="36">
        <v>0.21767998999999999</v>
      </c>
      <c r="E42" s="36">
        <f>_xlfn.XLOOKUP(C42,Industry_Benchmark!$A$2:$A$82,Industry_Benchmark!$B$2:$B$82,"")</f>
        <v>0.21304124999999996</v>
      </c>
      <c r="F42" s="36">
        <f>D42-E42</f>
        <v>4.6387400000000301E-3</v>
      </c>
      <c r="G42" s="37">
        <f>IF(F42&gt;0,1,0)</f>
        <v>1</v>
      </c>
      <c r="H42" s="36">
        <v>4.3999999999999997E-2</v>
      </c>
      <c r="I42" s="36">
        <f>_xlfn.XLOOKUP(C42,Industry_Benchmark!$A$2:$A$82,Industry_Benchmark!$C$2:$C$82,"")</f>
        <v>0.270125</v>
      </c>
      <c r="J42" s="36">
        <f>H42-I42</f>
        <v>-0.22612500000000002</v>
      </c>
      <c r="K42" s="37">
        <f>IF(J42&gt;0,1,0)</f>
        <v>0</v>
      </c>
      <c r="L42" s="35">
        <v>1.643</v>
      </c>
      <c r="M42" s="35">
        <f>_xlfn.XLOOKUP(C42,Industry_Benchmark!$A$2:$A$82,Industry_Benchmark!$D$2:$D$82,"")</f>
        <v>1.4105714285714286</v>
      </c>
      <c r="N42" s="35">
        <f>L42-M42</f>
        <v>0.23242857142857143</v>
      </c>
      <c r="O42" s="35">
        <f>IF(N42&gt;0,1,0)</f>
        <v>1</v>
      </c>
      <c r="P42" s="36">
        <v>8.6959999999999996E-2</v>
      </c>
      <c r="Q42" s="36">
        <f>_xlfn.XLOOKUP(C42,Industry_Benchmark!$A$2:$A$82,Industry_Benchmark!$E$2:$E$82,"")</f>
        <v>9.5184285714285721E-2</v>
      </c>
      <c r="R42" s="36">
        <f>P42-Q42</f>
        <v>-8.2242857142857256E-3</v>
      </c>
      <c r="S42" s="37">
        <f>IF(R42&gt;0,1,0)</f>
        <v>0</v>
      </c>
      <c r="T42" s="35">
        <v>457.33199999999999</v>
      </c>
      <c r="U42" s="35">
        <f>_xlfn.XLOOKUP(C42,Industry_Benchmark!$A$2:$A$82,Industry_Benchmark!$F$2:$F$82,"")</f>
        <v>212.02399999999994</v>
      </c>
      <c r="V42" s="35">
        <f>T42-U42</f>
        <v>245.30800000000005</v>
      </c>
      <c r="W42" s="35">
        <f>IF(V42&gt;0,1,0)</f>
        <v>1</v>
      </c>
      <c r="X42" s="36">
        <v>0.58499999999999996</v>
      </c>
      <c r="Y42" s="36">
        <f>_xlfn.XLOOKUP(C42,Industry_Benchmark!$A$2:$A$82,Industry_Benchmark!$G$2:$G$82,"")</f>
        <v>0.47294625624999997</v>
      </c>
      <c r="Z42" s="59">
        <f>X42-Y42</f>
        <v>0.11205374374999999</v>
      </c>
      <c r="AA42" s="35">
        <f>IF(Z42&gt;0,1,0)</f>
        <v>1</v>
      </c>
      <c r="AB42" s="60">
        <f>SUM(G42,K42,O42,S42,W42,AA42)</f>
        <v>4</v>
      </c>
      <c r="AC42" s="61">
        <f>AB42/6</f>
        <v>0.66666666666666663</v>
      </c>
      <c r="AD42" s="62" t="str" cm="1">
        <f t="array" ref="AD42">_xlfn.IFS(
AB42=6,"Excellent",
AB42=5,"Strong",
AB42=4,"Good",
AB42=3,"Average",
AB42&lt;=2,"Weak"
)</f>
        <v>Good</v>
      </c>
    </row>
    <row r="43" spans="1:30" x14ac:dyDescent="0.3">
      <c r="A43" s="12" t="s">
        <v>193</v>
      </c>
      <c r="B43" s="10" t="s">
        <v>194</v>
      </c>
      <c r="C43" s="10" t="s">
        <v>192</v>
      </c>
      <c r="D43" s="36">
        <v>0.13566</v>
      </c>
      <c r="E43" s="36">
        <f>_xlfn.XLOOKUP(C43,Industry_Benchmark!$A$2:$A$82,Industry_Benchmark!$B$2:$B$82,"")</f>
        <v>0.13148500000000002</v>
      </c>
      <c r="F43" s="36">
        <f>D43-E43</f>
        <v>4.1749999999999843E-3</v>
      </c>
      <c r="G43" s="37">
        <f>IF(F43&gt;0,1,0)</f>
        <v>1</v>
      </c>
      <c r="H43" s="36">
        <v>0.16</v>
      </c>
      <c r="I43" s="36">
        <f>_xlfn.XLOOKUP(C43,Industry_Benchmark!$A$2:$A$82,Industry_Benchmark!$C$2:$C$82,"")</f>
        <v>0.19400000000000001</v>
      </c>
      <c r="J43" s="36">
        <f>H43-I43</f>
        <v>-3.4000000000000002E-2</v>
      </c>
      <c r="K43" s="37">
        <f>IF(J43&gt;0,1,0)</f>
        <v>0</v>
      </c>
      <c r="L43" s="35">
        <v>2.1920000000000002</v>
      </c>
      <c r="M43" s="35">
        <f>_xlfn.XLOOKUP(C43,Industry_Benchmark!$A$2:$A$82,Industry_Benchmark!$D$2:$D$82,"")</f>
        <v>1.8240000000000001</v>
      </c>
      <c r="N43" s="35">
        <f>L43-M43</f>
        <v>0.3680000000000001</v>
      </c>
      <c r="O43" s="35">
        <f>IF(N43&gt;0,1,0)</f>
        <v>1</v>
      </c>
      <c r="P43" s="36">
        <v>6.3549999999999995E-2</v>
      </c>
      <c r="Q43" s="36">
        <f>_xlfn.XLOOKUP(C43,Industry_Benchmark!$A$2:$A$82,Industry_Benchmark!$E$2:$E$82,"")</f>
        <v>5.8454999999999993E-2</v>
      </c>
      <c r="R43" s="36">
        <f>P43-Q43</f>
        <v>5.0950000000000023E-3</v>
      </c>
      <c r="S43" s="37">
        <f>IF(R43&gt;0,1,0)</f>
        <v>1</v>
      </c>
      <c r="T43" s="35">
        <v>264.86399999999998</v>
      </c>
      <c r="U43" s="35">
        <f>_xlfn.XLOOKUP(C43,Industry_Benchmark!$A$2:$A$82,Industry_Benchmark!$F$2:$F$82,"")</f>
        <v>246.83299999999997</v>
      </c>
      <c r="V43" s="35">
        <f>T43-U43</f>
        <v>18.031000000000006</v>
      </c>
      <c r="W43" s="35">
        <f>IF(V43&gt;0,1,0)</f>
        <v>1</v>
      </c>
      <c r="X43" s="36">
        <v>0.38019999999999998</v>
      </c>
      <c r="Y43" s="36">
        <f>_xlfn.XLOOKUP(C43,Industry_Benchmark!$A$2:$A$82,Industry_Benchmark!$G$2:$G$82,"")</f>
        <v>0.39367998999999998</v>
      </c>
      <c r="Z43" s="59">
        <f>X43-Y43</f>
        <v>-1.3479989999999997E-2</v>
      </c>
      <c r="AA43" s="35">
        <f>IF(Z43&gt;0,1,0)</f>
        <v>0</v>
      </c>
      <c r="AB43" s="60">
        <f>SUM(G43,K43,O43,S43,W43,AA43)</f>
        <v>4</v>
      </c>
      <c r="AC43" s="61">
        <f>AB43/6</f>
        <v>0.66666666666666663</v>
      </c>
      <c r="AD43" s="62" t="str" cm="1">
        <f t="array" ref="AD43">_xlfn.IFS(
AB43=6,"Excellent",
AB43=5,"Strong",
AB43=4,"Good",
AB43=3,"Average",
AB43&lt;=2,"Weak"
)</f>
        <v>Good</v>
      </c>
    </row>
    <row r="44" spans="1:30" x14ac:dyDescent="0.3">
      <c r="A44" s="12" t="s">
        <v>195</v>
      </c>
      <c r="B44" s="10" t="s">
        <v>196</v>
      </c>
      <c r="C44" s="10" t="s">
        <v>119</v>
      </c>
      <c r="D44" s="36">
        <v>0.20277001</v>
      </c>
      <c r="E44" s="36">
        <f>_xlfn.XLOOKUP(C44,Industry_Benchmark!$A$2:$A$82,Industry_Benchmark!$B$2:$B$82,"")</f>
        <v>0.17165200400000002</v>
      </c>
      <c r="F44" s="36">
        <f>D44-E44</f>
        <v>3.1118005999999976E-2</v>
      </c>
      <c r="G44" s="37">
        <f>IF(F44&gt;0,1,0)</f>
        <v>1</v>
      </c>
      <c r="H44" s="36">
        <v>0.51700000000000002</v>
      </c>
      <c r="I44" s="36">
        <f>_xlfn.XLOOKUP(C44,Industry_Benchmark!$A$2:$A$82,Industry_Benchmark!$C$2:$C$82,"")</f>
        <v>0.28060000000000002</v>
      </c>
      <c r="J44" s="36">
        <f>H44-I44</f>
        <v>0.2364</v>
      </c>
      <c r="K44" s="37">
        <f>IF(J44&gt;0,1,0)</f>
        <v>1</v>
      </c>
      <c r="L44" s="35">
        <v>2.0990000000000002</v>
      </c>
      <c r="M44" s="35">
        <f>_xlfn.XLOOKUP(C44,Industry_Benchmark!$A$2:$A$82,Industry_Benchmark!$D$2:$D$82,"")</f>
        <v>1.3602000000000001</v>
      </c>
      <c r="N44" s="35">
        <f>L44-M44</f>
        <v>0.73880000000000012</v>
      </c>
      <c r="O44" s="35">
        <f>IF(N44&gt;0,1,0)</f>
        <v>1</v>
      </c>
      <c r="P44" s="36">
        <v>0.12801999999999999</v>
      </c>
      <c r="Q44" s="36">
        <f>_xlfn.XLOOKUP(C44,Industry_Benchmark!$A$2:$A$82,Industry_Benchmark!$E$2:$E$82,"")</f>
        <v>6.5944000000000003E-2</v>
      </c>
      <c r="R44" s="36">
        <f>P44-Q44</f>
        <v>6.2075999999999992E-2</v>
      </c>
      <c r="S44" s="37">
        <f>IF(R44&gt;0,1,0)</f>
        <v>1</v>
      </c>
      <c r="T44" s="35">
        <v>25.757999999999999</v>
      </c>
      <c r="U44" s="35">
        <f>_xlfn.XLOOKUP(C44,Industry_Benchmark!$A$2:$A$82,Industry_Benchmark!$F$2:$F$82,"")</f>
        <v>73.073599999999999</v>
      </c>
      <c r="V44" s="35">
        <f>T44-U44</f>
        <v>-47.315600000000003</v>
      </c>
      <c r="W44" s="35">
        <f>IF(V44&gt;0,1,0)</f>
        <v>0</v>
      </c>
      <c r="X44" s="36">
        <v>0.27933999999999998</v>
      </c>
      <c r="Y44" s="36">
        <f>_xlfn.XLOOKUP(C44,Industry_Benchmark!$A$2:$A$82,Industry_Benchmark!$G$2:$G$82,"")</f>
        <v>0.52347798119999989</v>
      </c>
      <c r="Z44" s="59">
        <f>X44-Y44</f>
        <v>-0.24413798119999991</v>
      </c>
      <c r="AA44" s="35">
        <f>IF(Z44&gt;0,1,0)</f>
        <v>0</v>
      </c>
      <c r="AB44" s="60">
        <f>SUM(G44,K44,O44,S44,W44,AA44)</f>
        <v>4</v>
      </c>
      <c r="AC44" s="61">
        <f>AB44/6</f>
        <v>0.66666666666666663</v>
      </c>
      <c r="AD44" s="62" t="str" cm="1">
        <f t="array" ref="AD44">_xlfn.IFS(
AB44=6,"Excellent",
AB44=5,"Strong",
AB44=4,"Good",
AB44=3,"Average",
AB44&lt;=2,"Weak"
)</f>
        <v>Good</v>
      </c>
    </row>
    <row r="45" spans="1:30" x14ac:dyDescent="0.3">
      <c r="A45" s="12" t="s">
        <v>229</v>
      </c>
      <c r="B45" s="10" t="s">
        <v>230</v>
      </c>
      <c r="C45" s="10" t="s">
        <v>71</v>
      </c>
      <c r="D45" s="36">
        <v>6.5619999999999998E-2</v>
      </c>
      <c r="E45" s="36">
        <f>_xlfn.XLOOKUP(C45,Industry_Benchmark!$A$2:$A$82,Industry_Benchmark!$B$2:$B$82,"")</f>
        <v>4.7955999999999999E-2</v>
      </c>
      <c r="F45" s="36">
        <f>D45-E45</f>
        <v>1.7663999999999999E-2</v>
      </c>
      <c r="G45" s="37">
        <f>IF(F45&gt;0,1,0)</f>
        <v>1</v>
      </c>
      <c r="H45" s="36">
        <v>0.13300000000000001</v>
      </c>
      <c r="I45" s="36">
        <f>_xlfn.XLOOKUP(C45,Industry_Benchmark!$A$2:$A$82,Industry_Benchmark!$C$2:$C$82,"")</f>
        <v>7.6399999999999996E-2</v>
      </c>
      <c r="J45" s="36">
        <f>H45-I45</f>
        <v>5.6600000000000011E-2</v>
      </c>
      <c r="K45" s="37">
        <f>IF(J45&gt;0,1,0)</f>
        <v>1</v>
      </c>
      <c r="L45" s="35">
        <v>0.96699999999999997</v>
      </c>
      <c r="M45" s="35">
        <f>_xlfn.XLOOKUP(C45,Industry_Benchmark!$A$2:$A$82,Industry_Benchmark!$D$2:$D$82,"")</f>
        <v>1.0478000000000001</v>
      </c>
      <c r="N45" s="35">
        <f>L45-M45</f>
        <v>-8.0800000000000094E-2</v>
      </c>
      <c r="O45" s="35">
        <f>IF(N45&gt;0,1,0)</f>
        <v>0</v>
      </c>
      <c r="P45" s="36">
        <v>0.10204001</v>
      </c>
      <c r="Q45" s="36">
        <f>_xlfn.XLOOKUP(C45,Industry_Benchmark!$A$2:$A$82,Industry_Benchmark!$E$2:$E$82,"")</f>
        <v>7.6300002000000006E-2</v>
      </c>
      <c r="R45" s="36">
        <f>P45-Q45</f>
        <v>2.5740007999999995E-2</v>
      </c>
      <c r="S45" s="37">
        <f>IF(R45&gt;0,1,0)</f>
        <v>1</v>
      </c>
      <c r="T45" s="35">
        <v>112.28700000000001</v>
      </c>
      <c r="U45" s="35">
        <f>_xlfn.XLOOKUP(C45,Industry_Benchmark!$A$2:$A$82,Industry_Benchmark!$F$2:$F$82,"")</f>
        <v>118.09080000000002</v>
      </c>
      <c r="V45" s="35">
        <f>T45-U45</f>
        <v>-5.8038000000000096</v>
      </c>
      <c r="W45" s="35">
        <f>IF(V45&gt;0,1,0)</f>
        <v>0</v>
      </c>
      <c r="X45" s="36">
        <v>0.50011002999999998</v>
      </c>
      <c r="Y45" s="36">
        <f>_xlfn.XLOOKUP(C45,Industry_Benchmark!$A$2:$A$82,Industry_Benchmark!$G$2:$G$82,"")</f>
        <v>0.30520200399999997</v>
      </c>
      <c r="Z45" s="59">
        <f>X45-Y45</f>
        <v>0.19490802600000001</v>
      </c>
      <c r="AA45" s="35">
        <f>IF(Z45&gt;0,1,0)</f>
        <v>1</v>
      </c>
      <c r="AB45" s="60">
        <f>SUM(G45,K45,O45,S45,W45,AA45)</f>
        <v>4</v>
      </c>
      <c r="AC45" s="61">
        <f>AB45/6</f>
        <v>0.66666666666666663</v>
      </c>
      <c r="AD45" s="62" t="str" cm="1">
        <f t="array" ref="AD45">_xlfn.IFS(
AB45=6,"Excellent",
AB45=5,"Strong",
AB45=4,"Good",
AB45=3,"Average",
AB45&lt;=2,"Weak"
)</f>
        <v>Good</v>
      </c>
    </row>
    <row r="46" spans="1:30" x14ac:dyDescent="0.3">
      <c r="A46" s="12" t="s">
        <v>290</v>
      </c>
      <c r="B46" s="10" t="s">
        <v>291</v>
      </c>
      <c r="C46" s="10" t="s">
        <v>289</v>
      </c>
      <c r="D46" s="36">
        <v>0.5968</v>
      </c>
      <c r="E46" s="36">
        <f>_xlfn.XLOOKUP(C46,Industry_Benchmark!$A$2:$A$82,Industry_Benchmark!$B$2:$B$82,"")</f>
        <v>0.46816000666666668</v>
      </c>
      <c r="F46" s="36">
        <f>D46-E46</f>
        <v>0.12863999333333331</v>
      </c>
      <c r="G46" s="37">
        <f>IF(F46&gt;0,1,0)</f>
        <v>1</v>
      </c>
      <c r="H46" s="36">
        <v>30.65</v>
      </c>
      <c r="I46" s="36">
        <f>_xlfn.XLOOKUP(C46,Industry_Benchmark!$A$2:$A$82,Industry_Benchmark!$C$2:$C$82,"")</f>
        <v>10.661333333333333</v>
      </c>
      <c r="J46" s="36">
        <f>H46-I46</f>
        <v>19.988666666666667</v>
      </c>
      <c r="K46" s="37">
        <f>IF(J46&gt;0,1,0)</f>
        <v>1</v>
      </c>
      <c r="L46" s="35">
        <v>1.3480000000000001</v>
      </c>
      <c r="M46" s="35">
        <f>_xlfn.XLOOKUP(C46,Industry_Benchmark!$A$2:$A$82,Industry_Benchmark!$D$2:$D$82,"")</f>
        <v>3.1789999999999998</v>
      </c>
      <c r="N46" s="35">
        <f>L46-M46</f>
        <v>-1.8309999999999997</v>
      </c>
      <c r="O46" s="35">
        <f>IF(N46&gt;0,1,0)</f>
        <v>0</v>
      </c>
      <c r="P46" s="36">
        <v>0.372</v>
      </c>
      <c r="Q46" s="36">
        <f>_xlfn.XLOOKUP(C46,Industry_Benchmark!$A$2:$A$82,Industry_Benchmark!$E$2:$E$82,"")</f>
        <v>0.25766333333333336</v>
      </c>
      <c r="R46" s="36">
        <f>P46-Q46</f>
        <v>0.11433666666666664</v>
      </c>
      <c r="S46" s="37">
        <f>IF(R46&gt;0,1,0)</f>
        <v>1</v>
      </c>
      <c r="T46" s="35">
        <v>5.758</v>
      </c>
      <c r="U46" s="35">
        <f>_xlfn.XLOOKUP(C46,Industry_Benchmark!$A$2:$A$82,Industry_Benchmark!$F$2:$F$82,"")</f>
        <v>9.7806666666666668</v>
      </c>
      <c r="V46" s="35">
        <f>T46-U46</f>
        <v>-4.0226666666666668</v>
      </c>
      <c r="W46" s="35">
        <f>IF(V46&gt;0,1,0)</f>
        <v>0</v>
      </c>
      <c r="X46" s="36">
        <v>1.09609</v>
      </c>
      <c r="Y46" s="36">
        <f>_xlfn.XLOOKUP(C46,Industry_Benchmark!$A$2:$A$82,Industry_Benchmark!$G$2:$G$82,"")</f>
        <v>0.62818334333333326</v>
      </c>
      <c r="Z46" s="59">
        <f>X46-Y46</f>
        <v>0.46790665666666675</v>
      </c>
      <c r="AA46" s="35">
        <f>IF(Z46&gt;0,1,0)</f>
        <v>1</v>
      </c>
      <c r="AB46" s="60">
        <f>SUM(G46,K46,O46,S46,W46,AA46)</f>
        <v>4</v>
      </c>
      <c r="AC46" s="61">
        <f>AB46/6</f>
        <v>0.66666666666666663</v>
      </c>
      <c r="AD46" s="62" t="str" cm="1">
        <f t="array" ref="AD46">_xlfn.IFS(
AB46=6,"Excellent",
AB46=5,"Strong",
AB46=4,"Good",
AB46=3,"Average",
AB46&lt;=2,"Weak"
)</f>
        <v>Good</v>
      </c>
    </row>
    <row r="47" spans="1:30" x14ac:dyDescent="0.3">
      <c r="A47" s="12" t="s">
        <v>292</v>
      </c>
      <c r="B47" s="10" t="s">
        <v>293</v>
      </c>
      <c r="C47" s="10" t="s">
        <v>289</v>
      </c>
      <c r="D47" s="36">
        <v>0.50244999999999995</v>
      </c>
      <c r="E47" s="36">
        <f>_xlfn.XLOOKUP(C47,Industry_Benchmark!$A$2:$A$82,Industry_Benchmark!$B$2:$B$82,"")</f>
        <v>0.46816000666666668</v>
      </c>
      <c r="F47" s="36">
        <f>D47-E47</f>
        <v>3.4289993333333268E-2</v>
      </c>
      <c r="G47" s="37">
        <f>IF(F47&gt;0,1,0)</f>
        <v>1</v>
      </c>
      <c r="H47" s="36">
        <v>1.044</v>
      </c>
      <c r="I47" s="36">
        <f>_xlfn.XLOOKUP(C47,Industry_Benchmark!$A$2:$A$82,Industry_Benchmark!$C$2:$C$82,"")</f>
        <v>10.661333333333333</v>
      </c>
      <c r="J47" s="36">
        <f>H47-I47</f>
        <v>-9.6173333333333328</v>
      </c>
      <c r="K47" s="37">
        <f>IF(J47&gt;0,1,0)</f>
        <v>0</v>
      </c>
      <c r="L47" s="35">
        <v>3.5640000000000001</v>
      </c>
      <c r="M47" s="35">
        <f>_xlfn.XLOOKUP(C47,Industry_Benchmark!$A$2:$A$82,Industry_Benchmark!$D$2:$D$82,"")</f>
        <v>3.1789999999999998</v>
      </c>
      <c r="N47" s="35">
        <f>L47-M47</f>
        <v>0.38500000000000023</v>
      </c>
      <c r="O47" s="35">
        <f>IF(N47&gt;0,1,0)</f>
        <v>1</v>
      </c>
      <c r="P47" s="36">
        <v>0.26252999999999999</v>
      </c>
      <c r="Q47" s="36">
        <f>_xlfn.XLOOKUP(C47,Industry_Benchmark!$A$2:$A$82,Industry_Benchmark!$E$2:$E$82,"")</f>
        <v>0.25766333333333336</v>
      </c>
      <c r="R47" s="36">
        <f>P47-Q47</f>
        <v>4.8666666666666303E-3</v>
      </c>
      <c r="S47" s="37">
        <f>IF(R47&gt;0,1,0)</f>
        <v>1</v>
      </c>
      <c r="T47" s="35">
        <v>14.384</v>
      </c>
      <c r="U47" s="35">
        <f>_xlfn.XLOOKUP(C47,Industry_Benchmark!$A$2:$A$82,Industry_Benchmark!$F$2:$F$82,"")</f>
        <v>9.7806666666666668</v>
      </c>
      <c r="V47" s="35">
        <f>T47-U47</f>
        <v>4.6033333333333335</v>
      </c>
      <c r="W47" s="35">
        <f>IF(V47&gt;0,1,0)</f>
        <v>1</v>
      </c>
      <c r="X47" s="36">
        <v>0.54207002999999998</v>
      </c>
      <c r="Y47" s="36">
        <f>_xlfn.XLOOKUP(C47,Industry_Benchmark!$A$2:$A$82,Industry_Benchmark!$G$2:$G$82,"")</f>
        <v>0.62818334333333326</v>
      </c>
      <c r="Z47" s="59">
        <f>X47-Y47</f>
        <v>-8.6113313333333275E-2</v>
      </c>
      <c r="AA47" s="35">
        <f>IF(Z47&gt;0,1,0)</f>
        <v>0</v>
      </c>
      <c r="AB47" s="60">
        <f>SUM(G47,K47,O47,S47,W47,AA47)</f>
        <v>4</v>
      </c>
      <c r="AC47" s="61">
        <f>AB47/6</f>
        <v>0.66666666666666663</v>
      </c>
      <c r="AD47" s="62" t="str" cm="1">
        <f t="array" ref="AD47">_xlfn.IFS(
AB47=6,"Excellent",
AB47=5,"Strong",
AB47=4,"Good",
AB47=3,"Average",
AB47&lt;=2,"Weak"
)</f>
        <v>Good</v>
      </c>
    </row>
    <row r="48" spans="1:30" x14ac:dyDescent="0.3">
      <c r="A48" s="12" t="s">
        <v>299</v>
      </c>
      <c r="B48" s="10" t="s">
        <v>300</v>
      </c>
      <c r="C48" s="10" t="s">
        <v>165</v>
      </c>
      <c r="D48" s="36">
        <v>0.19639999</v>
      </c>
      <c r="E48" s="36">
        <f>_xlfn.XLOOKUP(C48,Industry_Benchmark!$A$2:$A$82,Industry_Benchmark!$B$2:$B$82,"")</f>
        <v>8.6845711000000006E-2</v>
      </c>
      <c r="F48" s="36">
        <f>D48-E48</f>
        <v>0.10955427899999999</v>
      </c>
      <c r="G48" s="37">
        <f>IF(F48&gt;0,1,0)</f>
        <v>1</v>
      </c>
      <c r="H48" s="36">
        <v>-0.154</v>
      </c>
      <c r="I48" s="36">
        <f>_xlfn.XLOOKUP(C48,Industry_Benchmark!$A$2:$A$82,Industry_Benchmark!$C$2:$C$82,"")</f>
        <v>-5.5714285714285701E-3</v>
      </c>
      <c r="J48" s="36">
        <f>H48-I48</f>
        <v>-0.14842857142857144</v>
      </c>
      <c r="K48" s="37">
        <f>IF(J48&gt;0,1,0)</f>
        <v>0</v>
      </c>
      <c r="L48" s="35">
        <v>1.304</v>
      </c>
      <c r="M48" s="35">
        <f>_xlfn.XLOOKUP(C48,Industry_Benchmark!$A$2:$A$82,Industry_Benchmark!$D$2:$D$82,"")</f>
        <v>1.9000000000000001</v>
      </c>
      <c r="N48" s="35">
        <f>L48-M48</f>
        <v>-0.59600000000000009</v>
      </c>
      <c r="O48" s="35">
        <f>IF(N48&gt;0,1,0)</f>
        <v>0</v>
      </c>
      <c r="P48" s="36">
        <v>0.10762998999999999</v>
      </c>
      <c r="Q48" s="36">
        <f>_xlfn.XLOOKUP(C48,Industry_Benchmark!$A$2:$A$82,Industry_Benchmark!$E$2:$E$82,"")</f>
        <v>5.5819999142857138E-2</v>
      </c>
      <c r="R48" s="36">
        <f>P48-Q48</f>
        <v>5.1809990857142857E-2</v>
      </c>
      <c r="S48" s="37">
        <f>IF(R48&gt;0,1,0)</f>
        <v>1</v>
      </c>
      <c r="T48" s="35">
        <v>113.392</v>
      </c>
      <c r="U48" s="35">
        <f>_xlfn.XLOOKUP(C48,Industry_Benchmark!$A$2:$A$82,Industry_Benchmark!$F$2:$F$82,"")</f>
        <v>56.095714285714287</v>
      </c>
      <c r="V48" s="35">
        <f>T48-U48</f>
        <v>57.296285714285709</v>
      </c>
      <c r="W48" s="35">
        <f>IF(V48&gt;0,1,0)</f>
        <v>1</v>
      </c>
      <c r="X48" s="36">
        <v>0.59604000000000001</v>
      </c>
      <c r="Y48" s="36">
        <f>_xlfn.XLOOKUP(C48,Industry_Benchmark!$A$2:$A$82,Industry_Benchmark!$G$2:$G$82,"")</f>
        <v>0.33201799800000004</v>
      </c>
      <c r="Z48" s="59">
        <f>X48-Y48</f>
        <v>0.26402200199999998</v>
      </c>
      <c r="AA48" s="35">
        <f>IF(Z48&gt;0,1,0)</f>
        <v>1</v>
      </c>
      <c r="AB48" s="60">
        <f>SUM(G48,K48,O48,S48,W48,AA48)</f>
        <v>4</v>
      </c>
      <c r="AC48" s="61">
        <f>AB48/6</f>
        <v>0.66666666666666663</v>
      </c>
      <c r="AD48" s="62" t="str" cm="1">
        <f t="array" ref="AD48">_xlfn.IFS(
AB48=6,"Excellent",
AB48=5,"Strong",
AB48=4,"Good",
AB48=3,"Average",
AB48&lt;=2,"Weak"
)</f>
        <v>Good</v>
      </c>
    </row>
    <row r="49" spans="1:30" x14ac:dyDescent="0.3">
      <c r="A49" s="12" t="s">
        <v>305</v>
      </c>
      <c r="B49" s="10" t="s">
        <v>306</v>
      </c>
      <c r="C49" s="10" t="s">
        <v>126</v>
      </c>
      <c r="D49" s="36">
        <v>0.28726000000000002</v>
      </c>
      <c r="E49" s="36">
        <f>_xlfn.XLOOKUP(C49,Industry_Benchmark!$A$2:$A$82,Industry_Benchmark!$B$2:$B$82,"")</f>
        <v>0.17781714214285715</v>
      </c>
      <c r="F49" s="36">
        <f>D49-E49</f>
        <v>0.10944285785714286</v>
      </c>
      <c r="G49" s="37">
        <f>IF(F49&gt;0,1,0)</f>
        <v>1</v>
      </c>
      <c r="H49" s="36">
        <v>0.11600000000000001</v>
      </c>
      <c r="I49" s="36">
        <f>_xlfn.XLOOKUP(C49,Industry_Benchmark!$A$2:$A$82,Industry_Benchmark!$C$2:$C$82,"")</f>
        <v>0.16085714285714284</v>
      </c>
      <c r="J49" s="36">
        <f>H49-I49</f>
        <v>-4.4857142857142832E-2</v>
      </c>
      <c r="K49" s="37">
        <f>IF(J49&gt;0,1,0)</f>
        <v>0</v>
      </c>
      <c r="L49" s="35">
        <v>3.081</v>
      </c>
      <c r="M49" s="35">
        <f>_xlfn.XLOOKUP(C49,Industry_Benchmark!$A$2:$A$82,Industry_Benchmark!$D$2:$D$82,"")</f>
        <v>2.5379999999999998</v>
      </c>
      <c r="N49" s="35">
        <f>L49-M49</f>
        <v>0.54300000000000015</v>
      </c>
      <c r="O49" s="35">
        <f>IF(N49&gt;0,1,0)</f>
        <v>1</v>
      </c>
      <c r="P49" s="36">
        <v>0.126</v>
      </c>
      <c r="Q49" s="36">
        <f>_xlfn.XLOOKUP(C49,Industry_Benchmark!$A$2:$A$82,Industry_Benchmark!$E$2:$E$82,"")</f>
        <v>7.492714242857143E-2</v>
      </c>
      <c r="R49" s="36">
        <f>P49-Q49</f>
        <v>5.107285757142857E-2</v>
      </c>
      <c r="S49" s="37">
        <f>IF(R49&gt;0,1,0)</f>
        <v>1</v>
      </c>
      <c r="T49" s="35">
        <v>11.829000000000001</v>
      </c>
      <c r="U49" s="35">
        <f>_xlfn.XLOOKUP(C49,Industry_Benchmark!$A$2:$A$82,Industry_Benchmark!$F$2:$F$82,"")</f>
        <v>50.663714285714285</v>
      </c>
      <c r="V49" s="35">
        <f>T49-U49</f>
        <v>-38.834714285714284</v>
      </c>
      <c r="W49" s="35">
        <f>IF(V49&gt;0,1,0)</f>
        <v>0</v>
      </c>
      <c r="X49" s="36">
        <v>0.28877002000000002</v>
      </c>
      <c r="Y49" s="36">
        <f>_xlfn.XLOOKUP(C49,Industry_Benchmark!$A$2:$A$82,Industry_Benchmark!$G$2:$G$82,"")</f>
        <v>0.18974000000000002</v>
      </c>
      <c r="Z49" s="59">
        <f>X49-Y49</f>
        <v>9.9030019999999996E-2</v>
      </c>
      <c r="AA49" s="35">
        <f>IF(Z49&gt;0,1,0)</f>
        <v>1</v>
      </c>
      <c r="AB49" s="60">
        <f>SUM(G49,K49,O49,S49,W49,AA49)</f>
        <v>4</v>
      </c>
      <c r="AC49" s="61">
        <f>AB49/6</f>
        <v>0.66666666666666663</v>
      </c>
      <c r="AD49" s="62" t="str" cm="1">
        <f t="array" ref="AD49">_xlfn.IFS(
AB49=6,"Excellent",
AB49=5,"Strong",
AB49=4,"Good",
AB49=3,"Average",
AB49&lt;=2,"Weak"
)</f>
        <v>Good</v>
      </c>
    </row>
    <row r="50" spans="1:30" x14ac:dyDescent="0.3">
      <c r="A50" s="12" t="s">
        <v>311</v>
      </c>
      <c r="B50" s="10" t="s">
        <v>312</v>
      </c>
      <c r="C50" s="10" t="s">
        <v>155</v>
      </c>
      <c r="D50" s="36">
        <v>0.19323999</v>
      </c>
      <c r="E50" s="36">
        <f>_xlfn.XLOOKUP(C50,Industry_Benchmark!$A$2:$A$82,Industry_Benchmark!$B$2:$B$82,"")</f>
        <v>0.13919999833333332</v>
      </c>
      <c r="F50" s="36">
        <f>D50-E50</f>
        <v>5.4039991666666676E-2</v>
      </c>
      <c r="G50" s="37">
        <f>IF(F50&gt;0,1,0)</f>
        <v>1</v>
      </c>
      <c r="H50" s="36">
        <v>-0.11899999999999999</v>
      </c>
      <c r="I50" s="36">
        <f>_xlfn.XLOOKUP(C50,Industry_Benchmark!$A$2:$A$82,Industry_Benchmark!$C$2:$C$82,"")</f>
        <v>3.0333333333333337E-2</v>
      </c>
      <c r="J50" s="36">
        <f>H50-I50</f>
        <v>-0.14933333333333332</v>
      </c>
      <c r="K50" s="37">
        <f>IF(J50&gt;0,1,0)</f>
        <v>0</v>
      </c>
      <c r="L50" s="35">
        <v>0.70299999999999996</v>
      </c>
      <c r="M50" s="35">
        <f>_xlfn.XLOOKUP(C50,Industry_Benchmark!$A$2:$A$82,Industry_Benchmark!$D$2:$D$82,"")</f>
        <v>0.65966666666666662</v>
      </c>
      <c r="N50" s="35">
        <f>L50-M50</f>
        <v>4.3333333333333335E-2</v>
      </c>
      <c r="O50" s="35">
        <f>IF(N50&gt;0,1,0)</f>
        <v>1</v>
      </c>
      <c r="P50" s="36">
        <v>2.1229999999999999E-2</v>
      </c>
      <c r="Q50" s="36">
        <f>_xlfn.XLOOKUP(C50,Industry_Benchmark!$A$2:$A$82,Industry_Benchmark!$E$2:$E$82,"")</f>
        <v>2.127833375E-2</v>
      </c>
      <c r="R50" s="36">
        <f>P50-Q50</f>
        <v>-4.8333750000000703E-5</v>
      </c>
      <c r="S50" s="37">
        <f>IF(R50&gt;0,1,0)</f>
        <v>0</v>
      </c>
      <c r="T50" s="35">
        <v>152.62200000000001</v>
      </c>
      <c r="U50" s="35">
        <f>_xlfn.XLOOKUP(C50,Industry_Benchmark!$A$2:$A$82,Industry_Benchmark!$F$2:$F$82,"")</f>
        <v>151.27916666666667</v>
      </c>
      <c r="V50" s="35">
        <f>T50-U50</f>
        <v>1.3428333333333455</v>
      </c>
      <c r="W50" s="35">
        <f>IF(V50&gt;0,1,0)</f>
        <v>1</v>
      </c>
      <c r="X50" s="36">
        <v>9.6390000000000003E-2</v>
      </c>
      <c r="Y50" s="36">
        <f>_xlfn.XLOOKUP(C50,Industry_Benchmark!$A$2:$A$82,Industry_Benchmark!$G$2:$G$82,"")</f>
        <v>8.0088333333333345E-2</v>
      </c>
      <c r="Z50" s="59">
        <f>X50-Y50</f>
        <v>1.6301666666666659E-2</v>
      </c>
      <c r="AA50" s="35">
        <f>IF(Z50&gt;0,1,0)</f>
        <v>1</v>
      </c>
      <c r="AB50" s="60">
        <f>SUM(G50,K50,O50,S50,W50,AA50)</f>
        <v>4</v>
      </c>
      <c r="AC50" s="61">
        <f>AB50/6</f>
        <v>0.66666666666666663</v>
      </c>
      <c r="AD50" s="62" t="str" cm="1">
        <f t="array" ref="AD50">_xlfn.IFS(
AB50=6,"Excellent",
AB50=5,"Strong",
AB50=4,"Good",
AB50=3,"Average",
AB50&lt;=2,"Weak"
)</f>
        <v>Good</v>
      </c>
    </row>
    <row r="51" spans="1:30" x14ac:dyDescent="0.3">
      <c r="A51" s="12" t="s">
        <v>333</v>
      </c>
      <c r="B51" s="10" t="s">
        <v>334</v>
      </c>
      <c r="C51" s="10" t="s">
        <v>332</v>
      </c>
      <c r="D51" s="36">
        <v>0.29209000000000002</v>
      </c>
      <c r="E51" s="36">
        <f>_xlfn.XLOOKUP(C51,Industry_Benchmark!$A$2:$A$82,Industry_Benchmark!$B$2:$B$82,"")</f>
        <v>0.20740999700000001</v>
      </c>
      <c r="F51" s="36">
        <f>D51-E51</f>
        <v>8.4680003000000004E-2</v>
      </c>
      <c r="G51" s="37">
        <f>IF(F51&gt;0,1,0)</f>
        <v>1</v>
      </c>
      <c r="H51" s="36">
        <v>5.8999999999999997E-2</v>
      </c>
      <c r="I51" s="36">
        <f>_xlfn.XLOOKUP(C51,Industry_Benchmark!$A$2:$A$82,Industry_Benchmark!$C$2:$C$82,"")</f>
        <v>0.32250000000000001</v>
      </c>
      <c r="J51" s="36">
        <f>H51-I51</f>
        <v>-0.26350000000000001</v>
      </c>
      <c r="K51" s="37">
        <f>IF(J51&gt;0,1,0)</f>
        <v>0</v>
      </c>
      <c r="L51" s="35">
        <v>5.5609999999999999</v>
      </c>
      <c r="M51" s="35">
        <f>_xlfn.XLOOKUP(C51,Industry_Benchmark!$A$2:$A$82,Industry_Benchmark!$D$2:$D$82,"")</f>
        <v>3.4379999999999997</v>
      </c>
      <c r="N51" s="35">
        <f>L51-M51</f>
        <v>2.1230000000000002</v>
      </c>
      <c r="O51" s="35">
        <f>IF(N51&gt;0,1,0)</f>
        <v>1</v>
      </c>
      <c r="P51" s="36">
        <v>8.9840000000000003E-2</v>
      </c>
      <c r="Q51" s="36">
        <f>_xlfn.XLOOKUP(C51,Industry_Benchmark!$A$2:$A$82,Industry_Benchmark!$E$2:$E$82,"")</f>
        <v>7.3480000000000004E-2</v>
      </c>
      <c r="R51" s="36">
        <f>P51-Q51</f>
        <v>1.636E-2</v>
      </c>
      <c r="S51" s="37">
        <f>IF(R51&gt;0,1,0)</f>
        <v>1</v>
      </c>
      <c r="T51" s="35">
        <v>21.28</v>
      </c>
      <c r="U51" s="35">
        <f>_xlfn.XLOOKUP(C51,Industry_Benchmark!$A$2:$A$82,Industry_Benchmark!$F$2:$F$82,"")</f>
        <v>24.61</v>
      </c>
      <c r="V51" s="35">
        <f>T51-U51</f>
        <v>-3.3299999999999983</v>
      </c>
      <c r="W51" s="35">
        <f>IF(V51&gt;0,1,0)</f>
        <v>0</v>
      </c>
      <c r="X51" s="36">
        <v>0.16877001999999999</v>
      </c>
      <c r="Y51" s="36">
        <f>_xlfn.XLOOKUP(C51,Industry_Benchmark!$A$2:$A$82,Industry_Benchmark!$G$2:$G$82,"")</f>
        <v>0.133660005</v>
      </c>
      <c r="Z51" s="59">
        <f>X51-Y51</f>
        <v>3.5110014999999994E-2</v>
      </c>
      <c r="AA51" s="35">
        <f>IF(Z51&gt;0,1,0)</f>
        <v>1</v>
      </c>
      <c r="AB51" s="60">
        <f>SUM(G51,K51,O51,S51,W51,AA51)</f>
        <v>4</v>
      </c>
      <c r="AC51" s="61">
        <f>AB51/6</f>
        <v>0.66666666666666663</v>
      </c>
      <c r="AD51" s="62" t="str" cm="1">
        <f t="array" ref="AD51">_xlfn.IFS(
AB51=6,"Excellent",
AB51=5,"Strong",
AB51=4,"Good",
AB51=3,"Average",
AB51&lt;=2,"Weak"
)</f>
        <v>Good</v>
      </c>
    </row>
    <row r="52" spans="1:30" x14ac:dyDescent="0.3">
      <c r="A52" s="12" t="s">
        <v>346</v>
      </c>
      <c r="B52" s="10" t="s">
        <v>347</v>
      </c>
      <c r="C52" s="10" t="s">
        <v>182</v>
      </c>
      <c r="D52" s="36">
        <v>0.11852</v>
      </c>
      <c r="E52" s="36">
        <f>_xlfn.XLOOKUP(C52,Industry_Benchmark!$A$2:$A$82,Industry_Benchmark!$B$2:$B$82,"")</f>
        <v>0.11456799980000001</v>
      </c>
      <c r="F52" s="36">
        <f>D52-E52</f>
        <v>3.952000199999986E-3</v>
      </c>
      <c r="G52" s="37">
        <f>IF(F52&gt;0,1,0)</f>
        <v>1</v>
      </c>
      <c r="H52" s="36">
        <v>1.7629999999999999</v>
      </c>
      <c r="I52" s="36">
        <f>_xlfn.XLOOKUP(C52,Industry_Benchmark!$A$2:$A$82,Industry_Benchmark!$C$2:$C$82,"")</f>
        <v>1.5185999999999999</v>
      </c>
      <c r="J52" s="36">
        <f>H52-I52</f>
        <v>0.24439999999999995</v>
      </c>
      <c r="K52" s="37">
        <f>IF(J52&gt;0,1,0)</f>
        <v>1</v>
      </c>
      <c r="L52" s="35">
        <v>1.516</v>
      </c>
      <c r="M52" s="35">
        <f>_xlfn.XLOOKUP(C52,Industry_Benchmark!$A$2:$A$82,Industry_Benchmark!$D$2:$D$82,"")</f>
        <v>1.4501999999999999</v>
      </c>
      <c r="N52" s="35">
        <f>L52-M52</f>
        <v>6.5800000000000081E-2</v>
      </c>
      <c r="O52" s="35">
        <f>IF(N52&gt;0,1,0)</f>
        <v>1</v>
      </c>
      <c r="P52" s="36">
        <v>9.3950000000000006E-2</v>
      </c>
      <c r="Q52" s="36">
        <f>_xlfn.XLOOKUP(C52,Industry_Benchmark!$A$2:$A$82,Industry_Benchmark!$E$2:$E$82,"")</f>
        <v>9.155399979999998E-2</v>
      </c>
      <c r="R52" s="36">
        <f>P52-Q52</f>
        <v>2.3960002000000258E-3</v>
      </c>
      <c r="S52" s="37">
        <f>IF(R52&gt;0,1,0)</f>
        <v>1</v>
      </c>
      <c r="T52" s="35">
        <v>34.308</v>
      </c>
      <c r="U52" s="35">
        <f>_xlfn.XLOOKUP(C52,Industry_Benchmark!$A$2:$A$82,Industry_Benchmark!$F$2:$F$82,"")</f>
        <v>71.088200000000001</v>
      </c>
      <c r="V52" s="35">
        <f>T52-U52</f>
        <v>-36.780200000000001</v>
      </c>
      <c r="W52" s="35">
        <f>IF(V52&gt;0,1,0)</f>
        <v>0</v>
      </c>
      <c r="X52" s="36">
        <v>0.12311999999999999</v>
      </c>
      <c r="Y52" s="36">
        <f>_xlfn.XLOOKUP(C52,Industry_Benchmark!$A$2:$A$82,Industry_Benchmark!$G$2:$G$82,"")</f>
        <v>0.13806800200000002</v>
      </c>
      <c r="Z52" s="59">
        <f>X52-Y52</f>
        <v>-1.494800200000003E-2</v>
      </c>
      <c r="AA52" s="35">
        <f>IF(Z52&gt;0,1,0)</f>
        <v>0</v>
      </c>
      <c r="AB52" s="60">
        <f>SUM(G52,K52,O52,S52,W52,AA52)</f>
        <v>4</v>
      </c>
      <c r="AC52" s="61">
        <f>AB52/6</f>
        <v>0.66666666666666663</v>
      </c>
      <c r="AD52" s="62" t="str" cm="1">
        <f t="array" ref="AD52">_xlfn.IFS(
AB52=6,"Excellent",
AB52=5,"Strong",
AB52=4,"Good",
AB52=3,"Average",
AB52&lt;=2,"Weak"
)</f>
        <v>Good</v>
      </c>
    </row>
    <row r="53" spans="1:30" x14ac:dyDescent="0.3">
      <c r="A53" s="12" t="s">
        <v>361</v>
      </c>
      <c r="B53" s="10" t="s">
        <v>362</v>
      </c>
      <c r="C53" s="10" t="s">
        <v>360</v>
      </c>
      <c r="D53" s="36">
        <v>0.16379999000000001</v>
      </c>
      <c r="E53" s="36">
        <f>_xlfn.XLOOKUP(C53,Industry_Benchmark!$A$2:$A$82,Industry_Benchmark!$B$2:$B$82,"")</f>
        <v>9.1394995000000007E-2</v>
      </c>
      <c r="F53" s="36">
        <f>D53-E53</f>
        <v>7.2404995E-2</v>
      </c>
      <c r="G53" s="37">
        <f>IF(F53&gt;0,1,0)</f>
        <v>1</v>
      </c>
      <c r="H53" s="36">
        <v>1.1419999999999999</v>
      </c>
      <c r="I53" s="36">
        <f>_xlfn.XLOOKUP(C53,Industry_Benchmark!$A$2:$A$82,Industry_Benchmark!$C$2:$C$82,"")</f>
        <v>1.036</v>
      </c>
      <c r="J53" s="36">
        <f>H53-I53</f>
        <v>0.10599999999999987</v>
      </c>
      <c r="K53" s="37">
        <f>IF(J53&gt;0,1,0)</f>
        <v>1</v>
      </c>
      <c r="L53" s="35">
        <v>0.497</v>
      </c>
      <c r="M53" s="35">
        <f>_xlfn.XLOOKUP(C53,Industry_Benchmark!$A$2:$A$82,Industry_Benchmark!$D$2:$D$82,"")</f>
        <v>0.76200000000000001</v>
      </c>
      <c r="N53" s="35">
        <f>L53-M53</f>
        <v>-0.26500000000000001</v>
      </c>
      <c r="O53" s="35">
        <f>IF(N53&gt;0,1,0)</f>
        <v>0</v>
      </c>
      <c r="P53" s="36">
        <v>3.4770000000000002E-2</v>
      </c>
      <c r="Q53" s="36">
        <f>_xlfn.XLOOKUP(C53,Industry_Benchmark!$A$2:$A$82,Industry_Benchmark!$E$2:$E$82,"")</f>
        <v>3.2390000000000002E-2</v>
      </c>
      <c r="R53" s="36">
        <f>P53-Q53</f>
        <v>2.3800000000000002E-3</v>
      </c>
      <c r="S53" s="37">
        <f>IF(R53&gt;0,1,0)</f>
        <v>1</v>
      </c>
      <c r="T53" s="35">
        <v>1163.943</v>
      </c>
      <c r="U53" s="35">
        <f>_xlfn.XLOOKUP(C53,Industry_Benchmark!$A$2:$A$82,Industry_Benchmark!$F$2:$F$82,"")</f>
        <v>581.97149999999999</v>
      </c>
      <c r="V53" s="35">
        <f>T53-U53</f>
        <v>581.97149999999999</v>
      </c>
      <c r="W53" s="35">
        <f>IF(V53&gt;0,1,0)</f>
        <v>1</v>
      </c>
      <c r="X53" s="36">
        <v>0.81430000000000002</v>
      </c>
      <c r="Y53" s="36">
        <f>_xlfn.XLOOKUP(C53,Industry_Benchmark!$A$2:$A$82,Industry_Benchmark!$G$2:$G$82,"")</f>
        <v>0.81430000000000002</v>
      </c>
      <c r="Z53" s="59">
        <f>X53-Y53</f>
        <v>0</v>
      </c>
      <c r="AA53" s="35">
        <f>IF(Z53&gt;0,1,0)</f>
        <v>0</v>
      </c>
      <c r="AB53" s="60">
        <f>SUM(G53,K53,O53,S53,W53,AA53)</f>
        <v>4</v>
      </c>
      <c r="AC53" s="61">
        <f>AB53/6</f>
        <v>0.66666666666666663</v>
      </c>
      <c r="AD53" s="62" t="str" cm="1">
        <f t="array" ref="AD53">_xlfn.IFS(
AB53=6,"Excellent",
AB53=5,"Strong",
AB53=4,"Good",
AB53=3,"Average",
AB53&lt;=2,"Weak"
)</f>
        <v>Good</v>
      </c>
    </row>
    <row r="54" spans="1:30" x14ac:dyDescent="0.3">
      <c r="A54" s="12" t="s">
        <v>365</v>
      </c>
      <c r="B54" s="10" t="s">
        <v>366</v>
      </c>
      <c r="C54" s="10" t="s">
        <v>197</v>
      </c>
      <c r="D54" s="36">
        <v>0.36523998000000002</v>
      </c>
      <c r="E54" s="36">
        <f>_xlfn.XLOOKUP(C54,Industry_Benchmark!$A$2:$A$82,Industry_Benchmark!$B$2:$B$82,"")</f>
        <v>0.29708666666666667</v>
      </c>
      <c r="F54" s="36">
        <f>D54-E54</f>
        <v>6.8153313333333354E-2</v>
      </c>
      <c r="G54" s="37">
        <f>IF(F54&gt;0,1,0)</f>
        <v>1</v>
      </c>
      <c r="H54" s="36">
        <v>0.35399999999999998</v>
      </c>
      <c r="I54" s="36">
        <f>_xlfn.XLOOKUP(C54,Industry_Benchmark!$A$2:$A$82,Industry_Benchmark!$C$2:$C$82,"")</f>
        <v>0.33833333333333337</v>
      </c>
      <c r="J54" s="36">
        <f>H54-I54</f>
        <v>1.5666666666666607E-2</v>
      </c>
      <c r="K54" s="37">
        <f>IF(J54&gt;0,1,0)</f>
        <v>1</v>
      </c>
      <c r="L54" s="35">
        <v>2.4350000000000001</v>
      </c>
      <c r="M54" s="35">
        <f>_xlfn.XLOOKUP(C54,Industry_Benchmark!$A$2:$A$82,Industry_Benchmark!$D$2:$D$82,"")</f>
        <v>2.7476666666666669</v>
      </c>
      <c r="N54" s="35">
        <f>L54-M54</f>
        <v>-0.31266666666666687</v>
      </c>
      <c r="O54" s="35">
        <f>IF(N54&gt;0,1,0)</f>
        <v>0</v>
      </c>
      <c r="P54" s="36">
        <v>0.16972999999999999</v>
      </c>
      <c r="Q54" s="36">
        <f>_xlfn.XLOOKUP(C54,Industry_Benchmark!$A$2:$A$82,Industry_Benchmark!$E$2:$E$82,"")</f>
        <v>0.18592000333333333</v>
      </c>
      <c r="R54" s="36">
        <f>P54-Q54</f>
        <v>-1.6190003333333342E-2</v>
      </c>
      <c r="S54" s="37">
        <f>IF(R54&gt;0,1,0)</f>
        <v>0</v>
      </c>
      <c r="T54" s="35">
        <v>91.792000000000002</v>
      </c>
      <c r="U54" s="35">
        <f>_xlfn.XLOOKUP(C54,Industry_Benchmark!$A$2:$A$82,Industry_Benchmark!$F$2:$F$82,"")</f>
        <v>74.865666666666669</v>
      </c>
      <c r="V54" s="35">
        <f>T54-U54</f>
        <v>16.926333333333332</v>
      </c>
      <c r="W54" s="35">
        <f>IF(V54&gt;0,1,0)</f>
        <v>1</v>
      </c>
      <c r="X54" s="36">
        <v>0.82329005</v>
      </c>
      <c r="Y54" s="36">
        <f>_xlfn.XLOOKUP(C54,Industry_Benchmark!$A$2:$A$82,Industry_Benchmark!$G$2:$G$82,"")</f>
        <v>0.69937335000000012</v>
      </c>
      <c r="Z54" s="59">
        <f>X54-Y54</f>
        <v>0.12391669999999988</v>
      </c>
      <c r="AA54" s="35">
        <f>IF(Z54&gt;0,1,0)</f>
        <v>1</v>
      </c>
      <c r="AB54" s="60">
        <f>SUM(G54,K54,O54,S54,W54,AA54)</f>
        <v>4</v>
      </c>
      <c r="AC54" s="61">
        <f>AB54/6</f>
        <v>0.66666666666666663</v>
      </c>
      <c r="AD54" s="62" t="str" cm="1">
        <f t="array" ref="AD54">_xlfn.IFS(
AB54=6,"Excellent",
AB54=5,"Strong",
AB54=4,"Good",
AB54=3,"Average",
AB54&lt;=2,"Weak"
)</f>
        <v>Good</v>
      </c>
    </row>
    <row r="55" spans="1:30" x14ac:dyDescent="0.3">
      <c r="A55" s="12" t="s">
        <v>367</v>
      </c>
      <c r="B55" s="10" t="s">
        <v>368</v>
      </c>
      <c r="C55" s="10" t="s">
        <v>44</v>
      </c>
      <c r="D55" s="36">
        <v>0.17735000000000001</v>
      </c>
      <c r="E55" s="36">
        <f>_xlfn.XLOOKUP(C55,Industry_Benchmark!$A$2:$A$82,Industry_Benchmark!$B$2:$B$82,"")</f>
        <v>0.26349400199999995</v>
      </c>
      <c r="F55" s="36">
        <f>D55-E55</f>
        <v>-8.6144001999999942E-2</v>
      </c>
      <c r="G55" s="37">
        <f>IF(F55&gt;0,1,0)</f>
        <v>0</v>
      </c>
      <c r="H55" s="36">
        <v>0.33200000000000002</v>
      </c>
      <c r="I55" s="36">
        <f>_xlfn.XLOOKUP(C55,Industry_Benchmark!$A$2:$A$82,Industry_Benchmark!$C$2:$C$82,"")</f>
        <v>0.2198</v>
      </c>
      <c r="J55" s="36">
        <f>H55-I55</f>
        <v>0.11220000000000002</v>
      </c>
      <c r="K55" s="37">
        <f>IF(J55&gt;0,1,0)</f>
        <v>1</v>
      </c>
      <c r="L55" s="35">
        <v>1.8029999999999999</v>
      </c>
      <c r="M55" s="35">
        <f>_xlfn.XLOOKUP(C55,Industry_Benchmark!$A$2:$A$82,Industry_Benchmark!$D$2:$D$82,"")</f>
        <v>1.6274000000000002</v>
      </c>
      <c r="N55" s="35">
        <f>L55-M55</f>
        <v>0.17559999999999976</v>
      </c>
      <c r="O55" s="35">
        <f>IF(N55&gt;0,1,0)</f>
        <v>1</v>
      </c>
      <c r="P55" s="36">
        <v>7.8520000000000006E-2</v>
      </c>
      <c r="Q55" s="36">
        <f>_xlfn.XLOOKUP(C55,Industry_Benchmark!$A$2:$A$82,Industry_Benchmark!$E$2:$E$82,"")</f>
        <v>0.10721799800000001</v>
      </c>
      <c r="R55" s="36">
        <f>P55-Q55</f>
        <v>-2.8697998000000002E-2</v>
      </c>
      <c r="S55" s="37">
        <f>IF(R55&gt;0,1,0)</f>
        <v>0</v>
      </c>
      <c r="T55" s="35">
        <v>94.32</v>
      </c>
      <c r="U55" s="35">
        <f>_xlfn.XLOOKUP(C55,Industry_Benchmark!$A$2:$A$82,Industry_Benchmark!$F$2:$F$82,"")</f>
        <v>37.377800000000001</v>
      </c>
      <c r="V55" s="35">
        <f>T55-U55</f>
        <v>56.942199999999993</v>
      </c>
      <c r="W55" s="35">
        <f>IF(V55&gt;0,1,0)</f>
        <v>1</v>
      </c>
      <c r="X55" s="36">
        <v>0.59995997000000001</v>
      </c>
      <c r="Y55" s="36">
        <f>_xlfn.XLOOKUP(C55,Industry_Benchmark!$A$2:$A$82,Industry_Benchmark!$G$2:$G$82,"")</f>
        <v>0.40269748999999999</v>
      </c>
      <c r="Z55" s="59">
        <f>X55-Y55</f>
        <v>0.19726248000000002</v>
      </c>
      <c r="AA55" s="35">
        <f>IF(Z55&gt;0,1,0)</f>
        <v>1</v>
      </c>
      <c r="AB55" s="60">
        <f>SUM(G55,K55,O55,S55,W55,AA55)</f>
        <v>4</v>
      </c>
      <c r="AC55" s="61">
        <f>AB55/6</f>
        <v>0.66666666666666663</v>
      </c>
      <c r="AD55" s="62" t="str" cm="1">
        <f t="array" ref="AD55">_xlfn.IFS(
AB55=6,"Excellent",
AB55=5,"Strong",
AB55=4,"Good",
AB55=3,"Average",
AB55&lt;=2,"Weak"
)</f>
        <v>Good</v>
      </c>
    </row>
    <row r="56" spans="1:30" x14ac:dyDescent="0.3">
      <c r="A56" s="12" t="s">
        <v>382</v>
      </c>
      <c r="B56" s="10" t="s">
        <v>383</v>
      </c>
      <c r="C56" s="10" t="s">
        <v>381</v>
      </c>
      <c r="D56" s="36">
        <v>9.5449999999999993E-2</v>
      </c>
      <c r="E56" s="36">
        <f>_xlfn.XLOOKUP(C56,Industry_Benchmark!$A$2:$A$82,Industry_Benchmark!$B$2:$B$82,"")</f>
        <v>2.3503334666666667E-2</v>
      </c>
      <c r="F56" s="36">
        <f>D56-E56</f>
        <v>7.1946665333333326E-2</v>
      </c>
      <c r="G56" s="37">
        <f>IF(F56&gt;0,1,0)</f>
        <v>1</v>
      </c>
      <c r="H56" s="36">
        <v>0.14000000000000001</v>
      </c>
      <c r="I56" s="36">
        <f>_xlfn.XLOOKUP(C56,Industry_Benchmark!$A$2:$A$82,Industry_Benchmark!$C$2:$C$82,"")</f>
        <v>-1.6999999999999998E-2</v>
      </c>
      <c r="J56" s="36">
        <f>H56-I56</f>
        <v>0.157</v>
      </c>
      <c r="K56" s="37">
        <f>IF(J56&gt;0,1,0)</f>
        <v>1</v>
      </c>
      <c r="L56" s="35">
        <v>0.35499999999999998</v>
      </c>
      <c r="M56" s="35">
        <f>_xlfn.XLOOKUP(C56,Industry_Benchmark!$A$2:$A$82,Industry_Benchmark!$D$2:$D$82,"")</f>
        <v>0.71200000000000008</v>
      </c>
      <c r="N56" s="35">
        <f>L56-M56</f>
        <v>-0.3570000000000001</v>
      </c>
      <c r="O56" s="35">
        <f>IF(N56&gt;0,1,0)</f>
        <v>0</v>
      </c>
      <c r="P56" s="36">
        <v>2.3239998000000001E-2</v>
      </c>
      <c r="Q56" s="36">
        <f>_xlfn.XLOOKUP(C56,Industry_Benchmark!$A$2:$A$82,Industry_Benchmark!$E$2:$E$82,"")</f>
        <v>2.2789999333333335E-2</v>
      </c>
      <c r="R56" s="36">
        <f>P56-Q56</f>
        <v>4.4999866666666638E-4</v>
      </c>
      <c r="S56" s="37">
        <f>IF(R56&gt;0,1,0)</f>
        <v>1</v>
      </c>
      <c r="T56" s="35">
        <v>107.974</v>
      </c>
      <c r="U56" s="35">
        <f>_xlfn.XLOOKUP(C56,Industry_Benchmark!$A$2:$A$82,Industry_Benchmark!$F$2:$F$82,"")</f>
        <v>123.89433333333334</v>
      </c>
      <c r="V56" s="35">
        <f>T56-U56</f>
        <v>-15.920333333333332</v>
      </c>
      <c r="W56" s="35">
        <f>IF(V56&gt;0,1,0)</f>
        <v>0</v>
      </c>
      <c r="X56" s="36">
        <v>4.7800000000000002E-2</v>
      </c>
      <c r="Y56" s="36">
        <f>_xlfn.XLOOKUP(C56,Industry_Benchmark!$A$2:$A$82,Industry_Benchmark!$G$2:$G$82,"")</f>
        <v>1.920666666666667E-2</v>
      </c>
      <c r="Z56" s="59">
        <f>X56-Y56</f>
        <v>2.8593333333333332E-2</v>
      </c>
      <c r="AA56" s="35">
        <f>IF(Z56&gt;0,1,0)</f>
        <v>1</v>
      </c>
      <c r="AB56" s="60">
        <f>SUM(G56,K56,O56,S56,W56,AA56)</f>
        <v>4</v>
      </c>
      <c r="AC56" s="61">
        <f>AB56/6</f>
        <v>0.66666666666666663</v>
      </c>
      <c r="AD56" s="62" t="str" cm="1">
        <f t="array" ref="AD56">_xlfn.IFS(
AB56=6,"Excellent",
AB56=5,"Strong",
AB56=4,"Good",
AB56=3,"Average",
AB56&lt;=2,"Weak"
)</f>
        <v>Good</v>
      </c>
    </row>
    <row r="57" spans="1:30" x14ac:dyDescent="0.3">
      <c r="A57" s="12" t="s">
        <v>416</v>
      </c>
      <c r="B57" s="10" t="s">
        <v>417</v>
      </c>
      <c r="C57" s="10" t="s">
        <v>242</v>
      </c>
      <c r="D57" s="36">
        <v>0.29526999999999998</v>
      </c>
      <c r="E57" s="36">
        <f>_xlfn.XLOOKUP(C57,Industry_Benchmark!$A$2:$A$82,Industry_Benchmark!$B$2:$B$82,"")</f>
        <v>0.23503499999999999</v>
      </c>
      <c r="F57" s="36">
        <f>D57-E57</f>
        <v>6.0234999999999983E-2</v>
      </c>
      <c r="G57" s="37">
        <f>IF(F57&gt;0,1,0)</f>
        <v>1</v>
      </c>
      <c r="H57" s="36">
        <v>0.127</v>
      </c>
      <c r="I57" s="36">
        <f>_xlfn.XLOOKUP(C57,Industry_Benchmark!$A$2:$A$82,Industry_Benchmark!$C$2:$C$82,"")</f>
        <v>0.108</v>
      </c>
      <c r="J57" s="36">
        <f>H57-I57</f>
        <v>1.9000000000000003E-2</v>
      </c>
      <c r="K57" s="37">
        <f>IF(J57&gt;0,1,0)</f>
        <v>1</v>
      </c>
      <c r="L57" s="35">
        <v>1.27</v>
      </c>
      <c r="M57" s="35">
        <f>_xlfn.XLOOKUP(C57,Industry_Benchmark!$A$2:$A$82,Industry_Benchmark!$D$2:$D$82,"")</f>
        <v>1.1555</v>
      </c>
      <c r="N57" s="35">
        <f>L57-M57</f>
        <v>0.11450000000000005</v>
      </c>
      <c r="O57" s="35">
        <f>IF(N57&gt;0,1,0)</f>
        <v>1</v>
      </c>
      <c r="P57" s="36">
        <v>0.11481</v>
      </c>
      <c r="Q57" s="36">
        <f>_xlfn.XLOOKUP(C57,Industry_Benchmark!$A$2:$A$82,Industry_Benchmark!$E$2:$E$82,"")</f>
        <v>7.8070000000000001E-2</v>
      </c>
      <c r="R57" s="36">
        <f>P57-Q57</f>
        <v>3.6739999999999995E-2</v>
      </c>
      <c r="S57" s="37">
        <f>IF(R57&gt;0,1,0)</f>
        <v>1</v>
      </c>
      <c r="T57" s="35">
        <v>28.626999999999999</v>
      </c>
      <c r="U57" s="35">
        <f>_xlfn.XLOOKUP(C57,Industry_Benchmark!$A$2:$A$82,Industry_Benchmark!$F$2:$F$82,"")</f>
        <v>48.477499999999999</v>
      </c>
      <c r="V57" s="35">
        <f>T57-U57</f>
        <v>-19.8505</v>
      </c>
      <c r="W57" s="35">
        <f>IF(V57&gt;0,1,0)</f>
        <v>0</v>
      </c>
      <c r="X57" s="36">
        <v>0.42571998</v>
      </c>
      <c r="Y57" s="36">
        <f>_xlfn.XLOOKUP(C57,Industry_Benchmark!$A$2:$A$82,Industry_Benchmark!$G$2:$G$82,"")</f>
        <v>0.46344499</v>
      </c>
      <c r="Z57" s="59">
        <f>X57-Y57</f>
        <v>-3.7725010000000003E-2</v>
      </c>
      <c r="AA57" s="35">
        <f>IF(Z57&gt;0,1,0)</f>
        <v>0</v>
      </c>
      <c r="AB57" s="60">
        <f>SUM(G57,K57,O57,S57,W57,AA57)</f>
        <v>4</v>
      </c>
      <c r="AC57" s="61">
        <f>AB57/6</f>
        <v>0.66666666666666663</v>
      </c>
      <c r="AD57" s="62" t="str" cm="1">
        <f t="array" ref="AD57">_xlfn.IFS(
AB57=6,"Excellent",
AB57=5,"Strong",
AB57=4,"Good",
AB57=3,"Average",
AB57&lt;=2,"Weak"
)</f>
        <v>Good</v>
      </c>
    </row>
    <row r="58" spans="1:30" x14ac:dyDescent="0.3">
      <c r="A58" s="12" t="s">
        <v>421</v>
      </c>
      <c r="B58" s="10" t="s">
        <v>422</v>
      </c>
      <c r="C58" s="10" t="s">
        <v>108</v>
      </c>
      <c r="D58" s="36">
        <v>0.23165000999999999</v>
      </c>
      <c r="E58" s="36">
        <f>_xlfn.XLOOKUP(C58,Industry_Benchmark!$A$2:$A$82,Industry_Benchmark!$B$2:$B$82,"")</f>
        <v>0.18452167</v>
      </c>
      <c r="F58" s="36">
        <f>D58-E58</f>
        <v>4.7128339999999991E-2</v>
      </c>
      <c r="G58" s="37">
        <f>IF(F58&gt;0,1,0)</f>
        <v>1</v>
      </c>
      <c r="H58" s="36">
        <v>0.111</v>
      </c>
      <c r="I58" s="36">
        <f>_xlfn.XLOOKUP(C58,Industry_Benchmark!$A$2:$A$82,Industry_Benchmark!$C$2:$C$82,"")</f>
        <v>0.17683333333333331</v>
      </c>
      <c r="J58" s="36">
        <f>H58-I58</f>
        <v>-6.5833333333333313E-2</v>
      </c>
      <c r="K58" s="37">
        <f>IF(J58&gt;0,1,0)</f>
        <v>0</v>
      </c>
      <c r="L58" s="35">
        <v>1.252</v>
      </c>
      <c r="M58" s="35">
        <f>_xlfn.XLOOKUP(C58,Industry_Benchmark!$A$2:$A$82,Industry_Benchmark!$D$2:$D$82,"")</f>
        <v>1.6713333333333333</v>
      </c>
      <c r="N58" s="35">
        <f>L58-M58</f>
        <v>-0.41933333333333334</v>
      </c>
      <c r="O58" s="35">
        <f>IF(N58&gt;0,1,0)</f>
        <v>0</v>
      </c>
      <c r="P58" s="36">
        <v>0.24621999999999999</v>
      </c>
      <c r="Q58" s="36">
        <f>_xlfn.XLOOKUP(C58,Industry_Benchmark!$A$2:$A$82,Industry_Benchmark!$E$2:$E$82,"")</f>
        <v>9.1146667000000001E-2</v>
      </c>
      <c r="R58" s="36">
        <f>P58-Q58</f>
        <v>0.15507333299999998</v>
      </c>
      <c r="S58" s="37">
        <f>IF(R58&gt;0,1,0)</f>
        <v>1</v>
      </c>
      <c r="T58" s="35">
        <v>149.42500000000001</v>
      </c>
      <c r="U58" s="35">
        <f>_xlfn.XLOOKUP(C58,Industry_Benchmark!$A$2:$A$82,Industry_Benchmark!$F$2:$F$82,"")</f>
        <v>96.502166666666668</v>
      </c>
      <c r="V58" s="35">
        <f>T58-U58</f>
        <v>52.922833333333344</v>
      </c>
      <c r="W58" s="35">
        <f>IF(V58&gt;0,1,0)</f>
        <v>1</v>
      </c>
      <c r="X58" s="36">
        <v>1.1261699000000001</v>
      </c>
      <c r="Y58" s="36">
        <f>_xlfn.XLOOKUP(C58,Industry_Benchmark!$A$2:$A$82,Industry_Benchmark!$G$2:$G$82,"")</f>
        <v>0.32766498833333335</v>
      </c>
      <c r="Z58" s="59">
        <f>X58-Y58</f>
        <v>0.79850491166666671</v>
      </c>
      <c r="AA58" s="35">
        <f>IF(Z58&gt;0,1,0)</f>
        <v>1</v>
      </c>
      <c r="AB58" s="60">
        <f>SUM(G58,K58,O58,S58,W58,AA58)</f>
        <v>4</v>
      </c>
      <c r="AC58" s="61">
        <f>AB58/6</f>
        <v>0.66666666666666663</v>
      </c>
      <c r="AD58" s="62" t="str" cm="1">
        <f t="array" ref="AD58">_xlfn.IFS(
AB58=6,"Excellent",
AB58=5,"Strong",
AB58=4,"Good",
AB58=3,"Average",
AB58&lt;=2,"Weak"
)</f>
        <v>Good</v>
      </c>
    </row>
    <row r="59" spans="1:30" x14ac:dyDescent="0.3">
      <c r="A59" s="12" t="s">
        <v>453</v>
      </c>
      <c r="B59" s="10" t="s">
        <v>454</v>
      </c>
      <c r="C59" s="10" t="s">
        <v>452</v>
      </c>
      <c r="D59" s="36">
        <v>0.41</v>
      </c>
      <c r="E59" s="36">
        <f>_xlfn.XLOOKUP(C59,Industry_Benchmark!$A$2:$A$82,Industry_Benchmark!$B$2:$B$82,"")</f>
        <v>0.29133999499999996</v>
      </c>
      <c r="F59" s="36">
        <f>D59-E59</f>
        <v>0.11866000500000001</v>
      </c>
      <c r="G59" s="37">
        <f>IF(F59&gt;0,1,0)</f>
        <v>1</v>
      </c>
      <c r="H59" s="36">
        <v>0.222</v>
      </c>
      <c r="I59" s="36">
        <f>_xlfn.XLOOKUP(C59,Industry_Benchmark!$A$2:$A$82,Industry_Benchmark!$C$2:$C$82,"")</f>
        <v>0.43149999999999999</v>
      </c>
      <c r="J59" s="36">
        <f>H59-I59</f>
        <v>-0.20949999999999999</v>
      </c>
      <c r="K59" s="37">
        <f>IF(J59&gt;0,1,0)</f>
        <v>0</v>
      </c>
      <c r="L59" s="35">
        <v>0.39400000000000002</v>
      </c>
      <c r="M59" s="35">
        <f>_xlfn.XLOOKUP(C59,Industry_Benchmark!$A$2:$A$82,Industry_Benchmark!$D$2:$D$82,"")</f>
        <v>0.41100000000000003</v>
      </c>
      <c r="N59" s="35">
        <f>L59-M59</f>
        <v>-1.7000000000000015E-2</v>
      </c>
      <c r="O59" s="35">
        <f>IF(N59&gt;0,1,0)</f>
        <v>0</v>
      </c>
      <c r="P59" s="36">
        <v>4.3499999999999997E-2</v>
      </c>
      <c r="Q59" s="36">
        <f>_xlfn.XLOOKUP(C59,Industry_Benchmark!$A$2:$A$82,Industry_Benchmark!$E$2:$E$82,"")</f>
        <v>3.1074999999999998E-2</v>
      </c>
      <c r="R59" s="36">
        <f>P59-Q59</f>
        <v>1.2424999999999999E-2</v>
      </c>
      <c r="S59" s="37">
        <f>IF(R59&gt;0,1,0)</f>
        <v>1</v>
      </c>
      <c r="T59" s="35">
        <v>589.32000000000005</v>
      </c>
      <c r="U59" s="35">
        <f>_xlfn.XLOOKUP(C59,Industry_Benchmark!$A$2:$A$82,Industry_Benchmark!$F$2:$F$82,"")</f>
        <v>325.38600000000002</v>
      </c>
      <c r="V59" s="35">
        <f>T59-U59</f>
        <v>263.93400000000003</v>
      </c>
      <c r="W59" s="35">
        <f>IF(V59&gt;0,1,0)</f>
        <v>1</v>
      </c>
      <c r="X59" s="36">
        <v>0.69601995000000005</v>
      </c>
      <c r="Y59" s="36">
        <f>_xlfn.XLOOKUP(C59,Industry_Benchmark!$A$2:$A$82,Industry_Benchmark!$G$2:$G$82,"")</f>
        <v>0.3579899755</v>
      </c>
      <c r="Z59" s="59">
        <f>X59-Y59</f>
        <v>0.33802997450000005</v>
      </c>
      <c r="AA59" s="35">
        <f>IF(Z59&gt;0,1,0)</f>
        <v>1</v>
      </c>
      <c r="AB59" s="60">
        <f>SUM(G59,K59,O59,S59,W59,AA59)</f>
        <v>4</v>
      </c>
      <c r="AC59" s="61">
        <f>AB59/6</f>
        <v>0.66666666666666663</v>
      </c>
      <c r="AD59" s="62" t="str" cm="1">
        <f t="array" ref="AD59">_xlfn.IFS(
AB59=6,"Excellent",
AB59=5,"Strong",
AB59=4,"Good",
AB59=3,"Average",
AB59&lt;=2,"Weak"
)</f>
        <v>Good</v>
      </c>
    </row>
    <row r="60" spans="1:30" x14ac:dyDescent="0.3">
      <c r="A60" s="12" t="s">
        <v>500</v>
      </c>
      <c r="B60" s="10" t="s">
        <v>501</v>
      </c>
      <c r="C60" s="10" t="s">
        <v>479</v>
      </c>
      <c r="D60" s="36">
        <v>0.10213</v>
      </c>
      <c r="E60" s="36">
        <f>_xlfn.XLOOKUP(C60,Industry_Benchmark!$A$2:$A$82,Industry_Benchmark!$B$2:$B$82,"")</f>
        <v>0.10838500000000001</v>
      </c>
      <c r="F60" s="36">
        <f>D60-E60</f>
        <v>-6.2550000000000106E-3</v>
      </c>
      <c r="G60" s="37">
        <f>IF(F60&gt;0,1,0)</f>
        <v>0</v>
      </c>
      <c r="H60" s="36">
        <v>0.48</v>
      </c>
      <c r="I60" s="36">
        <f>_xlfn.XLOOKUP(C60,Industry_Benchmark!$A$2:$A$82,Industry_Benchmark!$C$2:$C$82,"")</f>
        <v>0.39500000000000002</v>
      </c>
      <c r="J60" s="36">
        <f>H60-I60</f>
        <v>8.4999999999999964E-2</v>
      </c>
      <c r="K60" s="37">
        <f>IF(J60&gt;0,1,0)</f>
        <v>1</v>
      </c>
      <c r="L60" s="35">
        <v>0.58399999999999996</v>
      </c>
      <c r="M60" s="35">
        <f>_xlfn.XLOOKUP(C60,Industry_Benchmark!$A$2:$A$82,Industry_Benchmark!$D$2:$D$82,"")</f>
        <v>0.52249999999999996</v>
      </c>
      <c r="N60" s="35">
        <f>L60-M60</f>
        <v>6.1499999999999999E-2</v>
      </c>
      <c r="O60" s="35">
        <f>IF(N60&gt;0,1,0)</f>
        <v>1</v>
      </c>
      <c r="P60" s="36">
        <v>3.3210002000000002E-2</v>
      </c>
      <c r="Q60" s="36">
        <f>_xlfn.XLOOKUP(C60,Industry_Benchmark!$A$2:$A$82,Industry_Benchmark!$E$2:$E$82,"")</f>
        <v>3.6405001000000006E-2</v>
      </c>
      <c r="R60" s="36">
        <f>P60-Q60</f>
        <v>-3.1949990000000039E-3</v>
      </c>
      <c r="S60" s="37">
        <f>IF(R60&gt;0,1,0)</f>
        <v>0</v>
      </c>
      <c r="T60" s="35">
        <v>160.65799999999999</v>
      </c>
      <c r="U60" s="35">
        <f>_xlfn.XLOOKUP(C60,Industry_Benchmark!$A$2:$A$82,Industry_Benchmark!$F$2:$F$82,"")</f>
        <v>132.209</v>
      </c>
      <c r="V60" s="35">
        <f>T60-U60</f>
        <v>28.448999999999984</v>
      </c>
      <c r="W60" s="35">
        <f>IF(V60&gt;0,1,0)</f>
        <v>1</v>
      </c>
      <c r="X60" s="36">
        <v>7.3569999999999997E-2</v>
      </c>
      <c r="Y60" s="36">
        <f>_xlfn.XLOOKUP(C60,Industry_Benchmark!$A$2:$A$82,Industry_Benchmark!$G$2:$G$82,"")</f>
        <v>6.5054998500000003E-2</v>
      </c>
      <c r="Z60" s="59">
        <f>X60-Y60</f>
        <v>8.515001499999994E-3</v>
      </c>
      <c r="AA60" s="35">
        <f>IF(Z60&gt;0,1,0)</f>
        <v>1</v>
      </c>
      <c r="AB60" s="60">
        <f>SUM(G60,K60,O60,S60,W60,AA60)</f>
        <v>4</v>
      </c>
      <c r="AC60" s="61">
        <f>AB60/6</f>
        <v>0.66666666666666663</v>
      </c>
      <c r="AD60" s="62" t="str" cm="1">
        <f t="array" ref="AD60">_xlfn.IFS(
AB60=6,"Excellent",
AB60=5,"Strong",
AB60=4,"Good",
AB60=3,"Average",
AB60&lt;=2,"Weak"
)</f>
        <v>Good</v>
      </c>
    </row>
    <row r="61" spans="1:30" x14ac:dyDescent="0.3">
      <c r="A61" s="12" t="s">
        <v>510</v>
      </c>
      <c r="B61" s="10" t="s">
        <v>511</v>
      </c>
      <c r="C61" s="10" t="s">
        <v>425</v>
      </c>
      <c r="D61" s="36">
        <v>8.5800000000000008E-3</v>
      </c>
      <c r="E61" s="36">
        <f>_xlfn.XLOOKUP(C61,Industry_Benchmark!$A$2:$A$82,Industry_Benchmark!$B$2:$B$82,"")</f>
        <v>3.3746666666666668E-2</v>
      </c>
      <c r="F61" s="36">
        <f>D61-E61</f>
        <v>-2.5166666666666667E-2</v>
      </c>
      <c r="G61" s="37">
        <f>IF(F61&gt;0,1,0)</f>
        <v>0</v>
      </c>
      <c r="H61" s="36">
        <v>1.2490000000000001</v>
      </c>
      <c r="I61" s="36">
        <f>_xlfn.XLOOKUP(C61,Industry_Benchmark!$A$2:$A$82,Industry_Benchmark!$C$2:$C$82,"")</f>
        <v>1.0683333333333334</v>
      </c>
      <c r="J61" s="36">
        <f>H61-I61</f>
        <v>0.18066666666666675</v>
      </c>
      <c r="K61" s="37">
        <f>IF(J61&gt;0,1,0)</f>
        <v>1</v>
      </c>
      <c r="L61" s="35">
        <v>1.256</v>
      </c>
      <c r="M61" s="35">
        <f>_xlfn.XLOOKUP(C61,Industry_Benchmark!$A$2:$A$82,Industry_Benchmark!$D$2:$D$82,"")</f>
        <v>1.202</v>
      </c>
      <c r="N61" s="35">
        <f>L61-M61</f>
        <v>5.4000000000000048E-2</v>
      </c>
      <c r="O61" s="35">
        <f>IF(N61&gt;0,1,0)</f>
        <v>1</v>
      </c>
      <c r="P61" s="36">
        <v>2.5479999999999999E-2</v>
      </c>
      <c r="Q61" s="36">
        <f>_xlfn.XLOOKUP(C61,Industry_Benchmark!$A$2:$A$82,Industry_Benchmark!$E$2:$E$82,"")</f>
        <v>1.6324999999999999E-2</v>
      </c>
      <c r="R61" s="36">
        <f>P61-Q61</f>
        <v>9.1549999999999999E-3</v>
      </c>
      <c r="S61" s="37">
        <f>IF(R61&gt;0,1,0)</f>
        <v>1</v>
      </c>
      <c r="T61" s="35">
        <v>76.322999999999993</v>
      </c>
      <c r="U61" s="35">
        <f>_xlfn.XLOOKUP(C61,Industry_Benchmark!$A$2:$A$82,Industry_Benchmark!$F$2:$F$82,"")</f>
        <v>76.00233333333334</v>
      </c>
      <c r="V61" s="35">
        <f>T61-U61</f>
        <v>0.32066666666665355</v>
      </c>
      <c r="W61" s="35">
        <f>IF(V61&gt;0,1,0)</f>
        <v>1</v>
      </c>
      <c r="X61" s="36">
        <v>6.5280000000000005E-2</v>
      </c>
      <c r="Y61" s="36">
        <f>_xlfn.XLOOKUP(C61,Industry_Benchmark!$A$2:$A$82,Industry_Benchmark!$G$2:$G$82,"")</f>
        <v>7.2096668333333336E-2</v>
      </c>
      <c r="Z61" s="59">
        <f>X61-Y61</f>
        <v>-6.8166683333333311E-3</v>
      </c>
      <c r="AA61" s="35">
        <f>IF(Z61&gt;0,1,0)</f>
        <v>0</v>
      </c>
      <c r="AB61" s="60">
        <f>SUM(G61,K61,O61,S61,W61,AA61)</f>
        <v>4</v>
      </c>
      <c r="AC61" s="61">
        <f>AB61/6</f>
        <v>0.66666666666666663</v>
      </c>
      <c r="AD61" s="62" t="str" cm="1">
        <f t="array" ref="AD61">_xlfn.IFS(
AB61=6,"Excellent",
AB61=5,"Strong",
AB61=4,"Good",
AB61=3,"Average",
AB61&lt;=2,"Weak"
)</f>
        <v>Good</v>
      </c>
    </row>
    <row r="62" spans="1:30" x14ac:dyDescent="0.3">
      <c r="A62" s="12" t="s">
        <v>530</v>
      </c>
      <c r="B62" s="10" t="s">
        <v>531</v>
      </c>
      <c r="C62" s="10" t="s">
        <v>165</v>
      </c>
      <c r="D62" s="36">
        <v>0.16236999999999999</v>
      </c>
      <c r="E62" s="36">
        <f>_xlfn.XLOOKUP(C62,Industry_Benchmark!$A$2:$A$82,Industry_Benchmark!$B$2:$B$82,"")</f>
        <v>8.6845711000000006E-2</v>
      </c>
      <c r="F62" s="36">
        <f>D62-E62</f>
        <v>7.5524288999999981E-2</v>
      </c>
      <c r="G62" s="37">
        <f>IF(F62&gt;0,1,0)</f>
        <v>1</v>
      </c>
      <c r="H62" s="36">
        <v>7.8E-2</v>
      </c>
      <c r="I62" s="36">
        <f>_xlfn.XLOOKUP(C62,Industry_Benchmark!$A$2:$A$82,Industry_Benchmark!$C$2:$C$82,"")</f>
        <v>-5.5714285714285701E-3</v>
      </c>
      <c r="J62" s="36">
        <f>H62-I62</f>
        <v>8.3571428571428574E-2</v>
      </c>
      <c r="K62" s="37">
        <f>IF(J62&gt;0,1,0)</f>
        <v>1</v>
      </c>
      <c r="L62" s="35">
        <v>5.0590000000000002</v>
      </c>
      <c r="M62" s="35">
        <f>_xlfn.XLOOKUP(C62,Industry_Benchmark!$A$2:$A$82,Industry_Benchmark!$D$2:$D$82,"")</f>
        <v>1.9000000000000001</v>
      </c>
      <c r="N62" s="35">
        <f>L62-M62</f>
        <v>3.1589999999999998</v>
      </c>
      <c r="O62" s="35">
        <f>IF(N62&gt;0,1,0)</f>
        <v>1</v>
      </c>
      <c r="P62" s="36">
        <v>6.2670000000000003E-2</v>
      </c>
      <c r="Q62" s="36">
        <f>_xlfn.XLOOKUP(C62,Industry_Benchmark!$A$2:$A$82,Industry_Benchmark!$E$2:$E$82,"")</f>
        <v>5.5819999142857138E-2</v>
      </c>
      <c r="R62" s="36">
        <f>P62-Q62</f>
        <v>6.8500008571428656E-3</v>
      </c>
      <c r="S62" s="37">
        <f>IF(R62&gt;0,1,0)</f>
        <v>1</v>
      </c>
      <c r="T62" s="35">
        <v>0</v>
      </c>
      <c r="U62" s="35">
        <f>_xlfn.XLOOKUP(C62,Industry_Benchmark!$A$2:$A$82,Industry_Benchmark!$F$2:$F$82,"")</f>
        <v>56.095714285714287</v>
      </c>
      <c r="V62" s="35">
        <f>T62-U62</f>
        <v>-56.095714285714287</v>
      </c>
      <c r="W62" s="35">
        <f>IF(V62&gt;0,1,0)</f>
        <v>0</v>
      </c>
      <c r="X62" s="36"/>
      <c r="Y62" s="36">
        <f>_xlfn.XLOOKUP(C62,Industry_Benchmark!$A$2:$A$82,Industry_Benchmark!$G$2:$G$82,"")</f>
        <v>0.33201799800000004</v>
      </c>
      <c r="Z62" s="59">
        <f>X62-Y62</f>
        <v>-0.33201799800000004</v>
      </c>
      <c r="AA62" s="35">
        <f>IF(Z62&gt;0,1,0)</f>
        <v>0</v>
      </c>
      <c r="AB62" s="60">
        <f>SUM(G62,K62,O62,S62,W62,AA62)</f>
        <v>4</v>
      </c>
      <c r="AC62" s="61">
        <f>AB62/6</f>
        <v>0.66666666666666663</v>
      </c>
      <c r="AD62" s="62" t="str" cm="1">
        <f t="array" ref="AD62">_xlfn.IFS(
AB62=6,"Excellent",
AB62=5,"Strong",
AB62=4,"Good",
AB62=3,"Average",
AB62&lt;=2,"Weak"
)</f>
        <v>Good</v>
      </c>
    </row>
    <row r="63" spans="1:30" x14ac:dyDescent="0.3">
      <c r="A63" s="12" t="s">
        <v>547</v>
      </c>
      <c r="B63" s="10" t="s">
        <v>548</v>
      </c>
      <c r="C63" s="10" t="s">
        <v>158</v>
      </c>
      <c r="D63" s="36">
        <v>0.12149999</v>
      </c>
      <c r="E63" s="36">
        <f>_xlfn.XLOOKUP(C63,Industry_Benchmark!$A$2:$A$82,Industry_Benchmark!$B$2:$B$82,"")</f>
        <v>0.15536000333333333</v>
      </c>
      <c r="F63" s="36">
        <f>D63-E63</f>
        <v>-3.3860013333333328E-2</v>
      </c>
      <c r="G63" s="37">
        <f>IF(F63&gt;0,1,0)</f>
        <v>0</v>
      </c>
      <c r="H63" s="36">
        <v>0.61599999999999999</v>
      </c>
      <c r="I63" s="36">
        <f>_xlfn.XLOOKUP(C63,Industry_Benchmark!$A$2:$A$82,Industry_Benchmark!$C$2:$C$82,"")</f>
        <v>0.21066666666666664</v>
      </c>
      <c r="J63" s="36">
        <f>H63-I63</f>
        <v>0.40533333333333332</v>
      </c>
      <c r="K63" s="37">
        <f>IF(J63&gt;0,1,0)</f>
        <v>1</v>
      </c>
      <c r="L63" s="35">
        <v>1.69</v>
      </c>
      <c r="M63" s="35">
        <f>_xlfn.XLOOKUP(C63,Industry_Benchmark!$A$2:$A$82,Industry_Benchmark!$D$2:$D$82,"")</f>
        <v>1.6655</v>
      </c>
      <c r="N63" s="35">
        <f>L63-M63</f>
        <v>2.4499999999999966E-2</v>
      </c>
      <c r="O63" s="35">
        <f>IF(N63&gt;0,1,0)</f>
        <v>1</v>
      </c>
      <c r="P63" s="36">
        <v>0.12806000000000001</v>
      </c>
      <c r="Q63" s="36">
        <f>_xlfn.XLOOKUP(C63,Industry_Benchmark!$A$2:$A$82,Industry_Benchmark!$E$2:$E$82,"")</f>
        <v>6.7101666833333337E-2</v>
      </c>
      <c r="R63" s="36">
        <f>P63-Q63</f>
        <v>6.095833316666667E-2</v>
      </c>
      <c r="S63" s="37">
        <f>IF(R63&gt;0,1,0)</f>
        <v>1</v>
      </c>
      <c r="T63" s="35">
        <v>115.79900000000001</v>
      </c>
      <c r="U63" s="35">
        <f>_xlfn.XLOOKUP(C63,Industry_Benchmark!$A$2:$A$82,Industry_Benchmark!$F$2:$F$82,"")</f>
        <v>123.15566666666665</v>
      </c>
      <c r="V63" s="35">
        <f>T63-U63</f>
        <v>-7.3566666666666407</v>
      </c>
      <c r="W63" s="35">
        <f>IF(V63&gt;0,1,0)</f>
        <v>0</v>
      </c>
      <c r="X63" s="36">
        <v>0.55903000000000003</v>
      </c>
      <c r="Y63" s="36">
        <f>_xlfn.XLOOKUP(C63,Industry_Benchmark!$A$2:$A$82,Industry_Benchmark!$G$2:$G$82,"")</f>
        <v>0.26484833499999999</v>
      </c>
      <c r="Z63" s="59">
        <f>X63-Y63</f>
        <v>0.29418166500000004</v>
      </c>
      <c r="AA63" s="35">
        <f>IF(Z63&gt;0,1,0)</f>
        <v>1</v>
      </c>
      <c r="AB63" s="60">
        <f>SUM(G63,K63,O63,S63,W63,AA63)</f>
        <v>4</v>
      </c>
      <c r="AC63" s="61">
        <f>AB63/6</f>
        <v>0.66666666666666663</v>
      </c>
      <c r="AD63" s="62" t="str" cm="1">
        <f t="array" ref="AD63">_xlfn.IFS(
AB63=6,"Excellent",
AB63=5,"Strong",
AB63=4,"Good",
AB63=3,"Average",
AB63&lt;=2,"Weak"
)</f>
        <v>Good</v>
      </c>
    </row>
    <row r="64" spans="1:30" x14ac:dyDescent="0.3">
      <c r="A64" s="12" t="s">
        <v>555</v>
      </c>
      <c r="B64" s="10" t="s">
        <v>556</v>
      </c>
      <c r="C64" s="10" t="s">
        <v>213</v>
      </c>
      <c r="D64" s="36">
        <v>0.20530999999999999</v>
      </c>
      <c r="E64" s="36">
        <f>_xlfn.XLOOKUP(C64,Industry_Benchmark!$A$2:$A$82,Industry_Benchmark!$B$2:$B$82,"")</f>
        <v>0.30562332333333336</v>
      </c>
      <c r="F64" s="36">
        <f>D64-E64</f>
        <v>-0.10031332333333337</v>
      </c>
      <c r="G64" s="37">
        <f>IF(F64&gt;0,1,0)</f>
        <v>0</v>
      </c>
      <c r="H64" s="36">
        <v>0.18</v>
      </c>
      <c r="I64" s="36">
        <f>_xlfn.XLOOKUP(C64,Industry_Benchmark!$A$2:$A$82,Industry_Benchmark!$C$2:$C$82,"")</f>
        <v>0.156</v>
      </c>
      <c r="J64" s="36">
        <f>H64-I64</f>
        <v>2.3999999999999994E-2</v>
      </c>
      <c r="K64" s="37">
        <f>IF(J64&gt;0,1,0)</f>
        <v>1</v>
      </c>
      <c r="L64" s="35">
        <v>3.2189999999999999</v>
      </c>
      <c r="M64" s="35">
        <f>_xlfn.XLOOKUP(C64,Industry_Benchmark!$A$2:$A$82,Industry_Benchmark!$D$2:$D$82,"")</f>
        <v>2.0716666666666668</v>
      </c>
      <c r="N64" s="35">
        <f>L64-M64</f>
        <v>1.1473333333333331</v>
      </c>
      <c r="O64" s="35">
        <f>IF(N64&gt;0,1,0)</f>
        <v>1</v>
      </c>
      <c r="P64" s="36">
        <v>1.5299999999999999E-2</v>
      </c>
      <c r="Q64" s="36">
        <f>_xlfn.XLOOKUP(C64,Industry_Benchmark!$A$2:$A$82,Industry_Benchmark!$E$2:$E$82,"")</f>
        <v>8.1486663333333334E-2</v>
      </c>
      <c r="R64" s="36">
        <f>P64-Q64</f>
        <v>-6.618666333333334E-2</v>
      </c>
      <c r="S64" s="37">
        <f>IF(R64&gt;0,1,0)</f>
        <v>0</v>
      </c>
      <c r="T64" s="35">
        <v>67.563999999999993</v>
      </c>
      <c r="U64" s="35">
        <f>_xlfn.XLOOKUP(C64,Industry_Benchmark!$A$2:$A$82,Industry_Benchmark!$F$2:$F$82,"")</f>
        <v>31.016666666666666</v>
      </c>
      <c r="V64" s="35">
        <f>T64-U64</f>
        <v>36.547333333333327</v>
      </c>
      <c r="W64" s="35">
        <f>IF(V64&gt;0,1,0)</f>
        <v>1</v>
      </c>
      <c r="X64" s="36">
        <v>0.47783999999999999</v>
      </c>
      <c r="Y64" s="36">
        <f>_xlfn.XLOOKUP(C64,Industry_Benchmark!$A$2:$A$82,Industry_Benchmark!$G$2:$G$82,"")</f>
        <v>0.32167000000000001</v>
      </c>
      <c r="Z64" s="59">
        <f>X64-Y64</f>
        <v>0.15616999999999998</v>
      </c>
      <c r="AA64" s="35">
        <f>IF(Z64&gt;0,1,0)</f>
        <v>1</v>
      </c>
      <c r="AB64" s="60">
        <f>SUM(G64,K64,O64,S64,W64,AA64)</f>
        <v>4</v>
      </c>
      <c r="AC64" s="61">
        <f>AB64/6</f>
        <v>0.66666666666666663</v>
      </c>
      <c r="AD64" s="62" t="str" cm="1">
        <f t="array" ref="AD64">_xlfn.IFS(
AB64=6,"Excellent",
AB64=5,"Strong",
AB64=4,"Good",
AB64=3,"Average",
AB64&lt;=2,"Weak"
)</f>
        <v>Good</v>
      </c>
    </row>
    <row r="65" spans="1:30" x14ac:dyDescent="0.3">
      <c r="A65" s="12" t="s">
        <v>557</v>
      </c>
      <c r="B65" s="10" t="s">
        <v>558</v>
      </c>
      <c r="C65" s="10" t="s">
        <v>126</v>
      </c>
      <c r="D65" s="36">
        <v>0.19531999999999999</v>
      </c>
      <c r="E65" s="36">
        <f>_xlfn.XLOOKUP(C65,Industry_Benchmark!$A$2:$A$82,Industry_Benchmark!$B$2:$B$82,"")</f>
        <v>0.17781714214285715</v>
      </c>
      <c r="F65" s="36">
        <f>D65-E65</f>
        <v>1.7502857857142839E-2</v>
      </c>
      <c r="G65" s="37">
        <f>IF(F65&gt;0,1,0)</f>
        <v>1</v>
      </c>
      <c r="H65" s="36">
        <v>0.23599999999999999</v>
      </c>
      <c r="I65" s="36">
        <f>_xlfn.XLOOKUP(C65,Industry_Benchmark!$A$2:$A$82,Industry_Benchmark!$C$2:$C$82,"")</f>
        <v>0.16085714285714284</v>
      </c>
      <c r="J65" s="36">
        <f>H65-I65</f>
        <v>7.514285714285715E-2</v>
      </c>
      <c r="K65" s="37">
        <f>IF(J65&gt;0,1,0)</f>
        <v>1</v>
      </c>
      <c r="L65" s="35">
        <v>1.296</v>
      </c>
      <c r="M65" s="35">
        <f>_xlfn.XLOOKUP(C65,Industry_Benchmark!$A$2:$A$82,Industry_Benchmark!$D$2:$D$82,"")</f>
        <v>2.5379999999999998</v>
      </c>
      <c r="N65" s="35">
        <f>L65-M65</f>
        <v>-1.2419999999999998</v>
      </c>
      <c r="O65" s="35">
        <f>IF(N65&gt;0,1,0)</f>
        <v>0</v>
      </c>
      <c r="P65" s="36">
        <v>0.11330999999999999</v>
      </c>
      <c r="Q65" s="36">
        <f>_xlfn.XLOOKUP(C65,Industry_Benchmark!$A$2:$A$82,Industry_Benchmark!$E$2:$E$82,"")</f>
        <v>7.492714242857143E-2</v>
      </c>
      <c r="R65" s="36">
        <f>P65-Q65</f>
        <v>3.8382857571428564E-2</v>
      </c>
      <c r="S65" s="37">
        <f>IF(R65&gt;0,1,0)</f>
        <v>1</v>
      </c>
      <c r="T65" s="35">
        <v>2.8340000000000001</v>
      </c>
      <c r="U65" s="35">
        <f>_xlfn.XLOOKUP(C65,Industry_Benchmark!$A$2:$A$82,Industry_Benchmark!$F$2:$F$82,"")</f>
        <v>50.663714285714285</v>
      </c>
      <c r="V65" s="35">
        <f>T65-U65</f>
        <v>-47.829714285714282</v>
      </c>
      <c r="W65" s="35">
        <f>IF(V65&gt;0,1,0)</f>
        <v>0</v>
      </c>
      <c r="X65" s="36">
        <v>0.22518998000000001</v>
      </c>
      <c r="Y65" s="36">
        <f>_xlfn.XLOOKUP(C65,Industry_Benchmark!$A$2:$A$82,Industry_Benchmark!$G$2:$G$82,"")</f>
        <v>0.18974000000000002</v>
      </c>
      <c r="Z65" s="59">
        <f>X65-Y65</f>
        <v>3.5449979999999992E-2</v>
      </c>
      <c r="AA65" s="35">
        <f>IF(Z65&gt;0,1,0)</f>
        <v>1</v>
      </c>
      <c r="AB65" s="60">
        <f>SUM(G65,K65,O65,S65,W65,AA65)</f>
        <v>4</v>
      </c>
      <c r="AC65" s="61">
        <f>AB65/6</f>
        <v>0.66666666666666663</v>
      </c>
      <c r="AD65" s="62" t="str" cm="1">
        <f t="array" ref="AD65">_xlfn.IFS(
AB65=6,"Excellent",
AB65=5,"Strong",
AB65=4,"Good",
AB65=3,"Average",
AB65&lt;=2,"Weak"
)</f>
        <v>Good</v>
      </c>
    </row>
    <row r="66" spans="1:30" x14ac:dyDescent="0.3">
      <c r="A66" s="12" t="s">
        <v>566</v>
      </c>
      <c r="B66" s="10" t="s">
        <v>567</v>
      </c>
      <c r="C66" s="10" t="s">
        <v>348</v>
      </c>
      <c r="D66" s="36">
        <v>2.792E-2</v>
      </c>
      <c r="E66" s="36">
        <f>_xlfn.XLOOKUP(C66,Industry_Benchmark!$A$2:$A$82,Industry_Benchmark!$B$2:$B$82,"")</f>
        <v>3.8926667999999998E-2</v>
      </c>
      <c r="F66" s="36">
        <f>D66-E66</f>
        <v>-1.1006667999999997E-2</v>
      </c>
      <c r="G66" s="37">
        <f>IF(F66&gt;0,1,0)</f>
        <v>0</v>
      </c>
      <c r="H66" s="36">
        <v>0.29699999999999999</v>
      </c>
      <c r="I66" s="36">
        <f>_xlfn.XLOOKUP(C66,Industry_Benchmark!$A$2:$A$82,Industry_Benchmark!$C$2:$C$82,"")</f>
        <v>0.14366666666666666</v>
      </c>
      <c r="J66" s="36">
        <f>H66-I66</f>
        <v>0.15333333333333332</v>
      </c>
      <c r="K66" s="37">
        <f>IF(J66&gt;0,1,0)</f>
        <v>1</v>
      </c>
      <c r="L66" s="35">
        <v>2.39</v>
      </c>
      <c r="M66" s="35">
        <f>_xlfn.XLOOKUP(C66,Industry_Benchmark!$A$2:$A$82,Industry_Benchmark!$D$2:$D$82,"")</f>
        <v>1.7346666666666668</v>
      </c>
      <c r="N66" s="35">
        <f>L66-M66</f>
        <v>0.65533333333333332</v>
      </c>
      <c r="O66" s="35">
        <f>IF(N66&gt;0,1,0)</f>
        <v>1</v>
      </c>
      <c r="P66" s="36">
        <v>4.335E-2</v>
      </c>
      <c r="Q66" s="36">
        <f>_xlfn.XLOOKUP(C66,Industry_Benchmark!$A$2:$A$82,Industry_Benchmark!$E$2:$E$82,"")</f>
        <v>3.8259999999999995E-2</v>
      </c>
      <c r="R66" s="36">
        <f>P66-Q66</f>
        <v>5.0900000000000042E-3</v>
      </c>
      <c r="S66" s="37">
        <f>IF(R66&gt;0,1,0)</f>
        <v>1</v>
      </c>
      <c r="T66" s="35">
        <v>180.941</v>
      </c>
      <c r="U66" s="35">
        <f>_xlfn.XLOOKUP(C66,Industry_Benchmark!$A$2:$A$82,Industry_Benchmark!$F$2:$F$82,"")</f>
        <v>106.27766666666666</v>
      </c>
      <c r="V66" s="35">
        <f>T66-U66</f>
        <v>74.663333333333341</v>
      </c>
      <c r="W66" s="35">
        <f>IF(V66&gt;0,1,0)</f>
        <v>1</v>
      </c>
      <c r="X66" s="36">
        <v>7.5990000000000002E-2</v>
      </c>
      <c r="Y66" s="36">
        <f>_xlfn.XLOOKUP(C66,Industry_Benchmark!$A$2:$A$82,Industry_Benchmark!$G$2:$G$82,"")</f>
        <v>7.715000000000001E-2</v>
      </c>
      <c r="Z66" s="59">
        <f>X66-Y66</f>
        <v>-1.1600000000000082E-3</v>
      </c>
      <c r="AA66" s="35">
        <f>IF(Z66&gt;0,1,0)</f>
        <v>0</v>
      </c>
      <c r="AB66" s="60">
        <f>SUM(G66,K66,O66,S66,W66,AA66)</f>
        <v>4</v>
      </c>
      <c r="AC66" s="61">
        <f>AB66/6</f>
        <v>0.66666666666666663</v>
      </c>
      <c r="AD66" s="62" t="str" cm="1">
        <f t="array" ref="AD66">_xlfn.IFS(
AB66=6,"Excellent",
AB66=5,"Strong",
AB66=4,"Good",
AB66=3,"Average",
AB66&lt;=2,"Weak"
)</f>
        <v>Good</v>
      </c>
    </row>
    <row r="67" spans="1:30" x14ac:dyDescent="0.3">
      <c r="A67" s="12" t="s">
        <v>568</v>
      </c>
      <c r="B67" s="10" t="s">
        <v>569</v>
      </c>
      <c r="C67" s="10" t="s">
        <v>51</v>
      </c>
      <c r="D67" s="36">
        <v>1.0704899999999999</v>
      </c>
      <c r="E67" s="36">
        <f>_xlfn.XLOOKUP(C67,Industry_Benchmark!$A$2:$A$82,Industry_Benchmark!$B$2:$B$82,"")</f>
        <v>0.57074999999999998</v>
      </c>
      <c r="F67" s="36">
        <f>D67-E67</f>
        <v>0.49973999999999996</v>
      </c>
      <c r="G67" s="37">
        <f>IF(F67&gt;0,1,0)</f>
        <v>1</v>
      </c>
      <c r="H67" s="36">
        <v>0.108</v>
      </c>
      <c r="I67" s="36">
        <f>_xlfn.XLOOKUP(C67,Industry_Benchmark!$A$2:$A$82,Industry_Benchmark!$C$2:$C$82,"")</f>
        <v>0.10100000000000001</v>
      </c>
      <c r="J67" s="36">
        <f>H67-I67</f>
        <v>6.9999999999999923E-3</v>
      </c>
      <c r="K67" s="37">
        <f>IF(J67&gt;0,1,0)</f>
        <v>1</v>
      </c>
      <c r="L67" s="35">
        <v>3.3530000000000002</v>
      </c>
      <c r="M67" s="35">
        <f>_xlfn.XLOOKUP(C67,Industry_Benchmark!$A$2:$A$82,Industry_Benchmark!$D$2:$D$82,"")</f>
        <v>2.2444999999999999</v>
      </c>
      <c r="N67" s="35">
        <f>L67-M67</f>
        <v>1.1085000000000003</v>
      </c>
      <c r="O67" s="35">
        <f>IF(N67&gt;0,1,0)</f>
        <v>1</v>
      </c>
      <c r="P67" s="36">
        <v>7.7030000000000001E-2</v>
      </c>
      <c r="Q67" s="36">
        <f>_xlfn.XLOOKUP(C67,Industry_Benchmark!$A$2:$A$82,Industry_Benchmark!$E$2:$E$82,"")</f>
        <v>5.9479999000000006E-2</v>
      </c>
      <c r="R67" s="36">
        <f>P67-Q67</f>
        <v>1.7550000999999996E-2</v>
      </c>
      <c r="S67" s="37">
        <f>IF(R67&gt;0,1,0)</f>
        <v>1</v>
      </c>
      <c r="T67" s="35">
        <v>85.034000000000006</v>
      </c>
      <c r="U67" s="35">
        <f>_xlfn.XLOOKUP(C67,Industry_Benchmark!$A$2:$A$82,Industry_Benchmark!$F$2:$F$82,"")</f>
        <v>92.949000000000012</v>
      </c>
      <c r="V67" s="35">
        <f>T67-U67</f>
        <v>-7.9150000000000063</v>
      </c>
      <c r="W67" s="35">
        <f>IF(V67&gt;0,1,0)</f>
        <v>0</v>
      </c>
      <c r="X67" s="36">
        <v>0.28445998</v>
      </c>
      <c r="Y67" s="36">
        <f>_xlfn.XLOOKUP(C67,Industry_Benchmark!$A$2:$A$82,Industry_Benchmark!$G$2:$G$82,"")</f>
        <v>0.28625999000000002</v>
      </c>
      <c r="Z67" s="59">
        <f>X67-Y67</f>
        <v>-1.8000100000000185E-3</v>
      </c>
      <c r="AA67" s="35">
        <f>IF(Z67&gt;0,1,0)</f>
        <v>0</v>
      </c>
      <c r="AB67" s="60">
        <f>SUM(G67,K67,O67,S67,W67,AA67)</f>
        <v>4</v>
      </c>
      <c r="AC67" s="61">
        <f>AB67/6</f>
        <v>0.66666666666666663</v>
      </c>
      <c r="AD67" s="62" t="str" cm="1">
        <f t="array" ref="AD67">_xlfn.IFS(
AB67=6,"Excellent",
AB67=5,"Strong",
AB67=4,"Good",
AB67=3,"Average",
AB67&lt;=2,"Weak"
)</f>
        <v>Good</v>
      </c>
    </row>
    <row r="68" spans="1:30" x14ac:dyDescent="0.3">
      <c r="A68" s="12" t="s">
        <v>55</v>
      </c>
      <c r="B68" s="10" t="s">
        <v>56</v>
      </c>
      <c r="C68" s="10" t="s">
        <v>54</v>
      </c>
      <c r="D68" s="36">
        <v>7.4029999999999999E-2</v>
      </c>
      <c r="E68" s="36">
        <f>_xlfn.XLOOKUP(C68,Industry_Benchmark!$A$2:$A$82,Industry_Benchmark!$B$2:$B$82,"")</f>
        <v>9.4826665333333338E-2</v>
      </c>
      <c r="F68" s="36">
        <f>D68-E68</f>
        <v>-2.0796665333333339E-2</v>
      </c>
      <c r="G68" s="37">
        <f>IF(F68&gt;0,1,0)</f>
        <v>0</v>
      </c>
      <c r="H68" s="36">
        <v>0.56799999999999995</v>
      </c>
      <c r="I68" s="36">
        <f>_xlfn.XLOOKUP(C68,Industry_Benchmark!$A$2:$A$82,Industry_Benchmark!$C$2:$C$82,"")</f>
        <v>0.17033333333333334</v>
      </c>
      <c r="J68" s="36">
        <f>H68-I68</f>
        <v>0.39766666666666661</v>
      </c>
      <c r="K68" s="37">
        <f>IF(J68&gt;0,1,0)</f>
        <v>1</v>
      </c>
      <c r="L68" s="35">
        <v>1.385</v>
      </c>
      <c r="M68" s="35">
        <f>_xlfn.XLOOKUP(C68,Industry_Benchmark!$A$2:$A$82,Industry_Benchmark!$D$2:$D$82,"")</f>
        <v>1.2296666666666667</v>
      </c>
      <c r="N68" s="35">
        <f>L68-M68</f>
        <v>0.15533333333333332</v>
      </c>
      <c r="O68" s="35">
        <f>IF(N68&gt;0,1,0)</f>
        <v>1</v>
      </c>
      <c r="P68" s="36">
        <v>5.5370003000000001E-2</v>
      </c>
      <c r="Q68" s="36">
        <f>_xlfn.XLOOKUP(C68,Industry_Benchmark!$A$2:$A$82,Industry_Benchmark!$E$2:$E$82,"")</f>
        <v>3.6796666666666665E-2</v>
      </c>
      <c r="R68" s="36">
        <f>P68-Q68</f>
        <v>1.8573336333333336E-2</v>
      </c>
      <c r="S68" s="37">
        <f>IF(R68&gt;0,1,0)</f>
        <v>1</v>
      </c>
      <c r="T68" s="35">
        <v>35.65</v>
      </c>
      <c r="U68" s="35">
        <f>_xlfn.XLOOKUP(C68,Industry_Benchmark!$A$2:$A$82,Industry_Benchmark!$F$2:$F$82,"")</f>
        <v>163.52166666666665</v>
      </c>
      <c r="V68" s="35">
        <f>T68-U68</f>
        <v>-127.87166666666664</v>
      </c>
      <c r="W68" s="35">
        <f>IF(V68&gt;0,1,0)</f>
        <v>0</v>
      </c>
      <c r="X68" s="36">
        <v>0.15640999999999999</v>
      </c>
      <c r="Y68" s="36">
        <f>_xlfn.XLOOKUP(C68,Industry_Benchmark!$A$2:$A$82,Industry_Benchmark!$G$2:$G$82,"")</f>
        <v>0.25986000999999997</v>
      </c>
      <c r="Z68" s="59">
        <f>X68-Y68</f>
        <v>-0.10345000999999998</v>
      </c>
      <c r="AA68" s="35">
        <f>IF(Z68&gt;0,1,0)</f>
        <v>0</v>
      </c>
      <c r="AB68" s="60">
        <f>SUM(G68,K68,O68,S68,W68,AA68)</f>
        <v>3</v>
      </c>
      <c r="AC68" s="61">
        <f>AB68/6</f>
        <v>0.5</v>
      </c>
      <c r="AD68" s="62" t="str" cm="1">
        <f t="array" ref="AD68">_xlfn.IFS(
AB68=6,"Excellent",
AB68=5,"Strong",
AB68=4,"Good",
AB68=3,"Average",
AB68&lt;=2,"Weak"
)</f>
        <v>Average</v>
      </c>
    </row>
    <row r="69" spans="1:30" x14ac:dyDescent="0.3">
      <c r="A69" s="12" t="s">
        <v>63</v>
      </c>
      <c r="B69" s="10" t="s">
        <v>64</v>
      </c>
      <c r="C69" s="10" t="s">
        <v>62</v>
      </c>
      <c r="D69" s="36">
        <v>5.5230000000000001E-2</v>
      </c>
      <c r="E69" s="36">
        <f>_xlfn.XLOOKUP(C69,Industry_Benchmark!$A$2:$A$82,Industry_Benchmark!$B$2:$B$82,"")</f>
        <v>3.6041667333333326E-2</v>
      </c>
      <c r="F69" s="36">
        <f>D69-E69</f>
        <v>1.9188332666666676E-2</v>
      </c>
      <c r="G69" s="37">
        <f>IF(F69&gt;0,1,0)</f>
        <v>1</v>
      </c>
      <c r="H69" s="36">
        <v>0.111</v>
      </c>
      <c r="I69" s="36">
        <f>_xlfn.XLOOKUP(C69,Industry_Benchmark!$A$2:$A$82,Industry_Benchmark!$C$2:$C$82,"")</f>
        <v>0.11366666666666668</v>
      </c>
      <c r="J69" s="36">
        <f>H69-I69</f>
        <v>-2.6666666666666783E-3</v>
      </c>
      <c r="K69" s="37">
        <f>IF(J69&gt;0,1,0)</f>
        <v>0</v>
      </c>
      <c r="L69" s="35">
        <v>0.72</v>
      </c>
      <c r="M69" s="35">
        <f>_xlfn.XLOOKUP(C69,Industry_Benchmark!$A$2:$A$82,Industry_Benchmark!$D$2:$D$82,"")</f>
        <v>1.1100000000000001</v>
      </c>
      <c r="N69" s="35">
        <f>L69-M69</f>
        <v>-0.39000000000000012</v>
      </c>
      <c r="O69" s="35">
        <f>IF(N69&gt;0,1,0)</f>
        <v>0</v>
      </c>
      <c r="P69" s="36">
        <v>6.7900000000000002E-2</v>
      </c>
      <c r="Q69" s="36">
        <f>_xlfn.XLOOKUP(C69,Industry_Benchmark!$A$2:$A$82,Industry_Benchmark!$E$2:$E$82,"")</f>
        <v>4.6496666166666666E-2</v>
      </c>
      <c r="R69" s="36">
        <f>P69-Q69</f>
        <v>2.1403333833333336E-2</v>
      </c>
      <c r="S69" s="37">
        <f>IF(R69&gt;0,1,0)</f>
        <v>1</v>
      </c>
      <c r="T69" s="35">
        <v>62.929000000000002</v>
      </c>
      <c r="U69" s="35">
        <f>_xlfn.XLOOKUP(C69,Industry_Benchmark!$A$2:$A$82,Industry_Benchmark!$F$2:$F$82,"")</f>
        <v>78.132333333333335</v>
      </c>
      <c r="V69" s="35">
        <f>T69-U69</f>
        <v>-15.203333333333333</v>
      </c>
      <c r="W69" s="35">
        <f>IF(V69&gt;0,1,0)</f>
        <v>0</v>
      </c>
      <c r="X69" s="36">
        <v>0.21984999999999999</v>
      </c>
      <c r="Y69" s="36">
        <f>_xlfn.XLOOKUP(C69,Industry_Benchmark!$A$2:$A$82,Industry_Benchmark!$G$2:$G$82,"")</f>
        <v>0.14621000233333331</v>
      </c>
      <c r="Z69" s="59">
        <f>X69-Y69</f>
        <v>7.3639997666666679E-2</v>
      </c>
      <c r="AA69" s="35">
        <f>IF(Z69&gt;0,1,0)</f>
        <v>1</v>
      </c>
      <c r="AB69" s="60">
        <f>SUM(G69,K69,O69,S69,W69,AA69)</f>
        <v>3</v>
      </c>
      <c r="AC69" s="61">
        <f>AB69/6</f>
        <v>0.5</v>
      </c>
      <c r="AD69" s="62" t="str" cm="1">
        <f t="array" ref="AD69">_xlfn.IFS(
AB69=6,"Excellent",
AB69=5,"Strong",
AB69=4,"Good",
AB69=3,"Average",
AB69&lt;=2,"Weak"
)</f>
        <v>Average</v>
      </c>
    </row>
    <row r="70" spans="1:30" x14ac:dyDescent="0.3">
      <c r="A70" s="12" t="s">
        <v>94</v>
      </c>
      <c r="B70" s="10" t="s">
        <v>95</v>
      </c>
      <c r="C70" s="10" t="s">
        <v>93</v>
      </c>
      <c r="D70" s="36">
        <v>0.23313998999999999</v>
      </c>
      <c r="E70" s="36">
        <f>_xlfn.XLOOKUP(C70,Industry_Benchmark!$A$2:$A$82,Industry_Benchmark!$B$2:$B$82,"")</f>
        <v>0.20896999666666669</v>
      </c>
      <c r="F70" s="36">
        <f>D70-E70</f>
        <v>2.4169993333333306E-2</v>
      </c>
      <c r="G70" s="37">
        <f>IF(F70&gt;0,1,0)</f>
        <v>1</v>
      </c>
      <c r="H70" s="36">
        <v>0.161</v>
      </c>
      <c r="I70" s="36">
        <f>_xlfn.XLOOKUP(C70,Industry_Benchmark!$A$2:$A$82,Industry_Benchmark!$C$2:$C$82,"")</f>
        <v>0.13633333333333333</v>
      </c>
      <c r="J70" s="36">
        <f>H70-I70</f>
        <v>2.466666666666667E-2</v>
      </c>
      <c r="K70" s="37">
        <f>IF(J70&gt;0,1,0)</f>
        <v>1</v>
      </c>
      <c r="L70" s="35">
        <v>1.516</v>
      </c>
      <c r="M70" s="35">
        <f>_xlfn.XLOOKUP(C70,Industry_Benchmark!$A$2:$A$82,Industry_Benchmark!$D$2:$D$82,"")</f>
        <v>2.3876666666666666</v>
      </c>
      <c r="N70" s="35">
        <f>L70-M70</f>
        <v>-0.87166666666666659</v>
      </c>
      <c r="O70" s="35">
        <f>IF(N70&gt;0,1,0)</f>
        <v>0</v>
      </c>
      <c r="P70" s="36">
        <v>7.8310000000000005E-2</v>
      </c>
      <c r="Q70" s="36">
        <f>_xlfn.XLOOKUP(C70,Industry_Benchmark!$A$2:$A$82,Industry_Benchmark!$E$2:$E$82,"")</f>
        <v>0.10935333466666668</v>
      </c>
      <c r="R70" s="36">
        <f>P70-Q70</f>
        <v>-3.1043334666666672E-2</v>
      </c>
      <c r="S70" s="37">
        <f>IF(R70&gt;0,1,0)</f>
        <v>0</v>
      </c>
      <c r="T70" s="35">
        <v>172.82599999999999</v>
      </c>
      <c r="U70" s="35">
        <f>_xlfn.XLOOKUP(C70,Industry_Benchmark!$A$2:$A$82,Industry_Benchmark!$F$2:$F$82,"")</f>
        <v>143.72033333333331</v>
      </c>
      <c r="V70" s="35">
        <f>T70-U70</f>
        <v>29.105666666666679</v>
      </c>
      <c r="W70" s="35">
        <f>IF(V70&gt;0,1,0)</f>
        <v>1</v>
      </c>
      <c r="X70" s="36">
        <v>0.39722002000000001</v>
      </c>
      <c r="Y70" s="36">
        <f>_xlfn.XLOOKUP(C70,Industry_Benchmark!$A$2:$A$82,Industry_Benchmark!$G$2:$G$82,"")</f>
        <v>0.41078666000000003</v>
      </c>
      <c r="Z70" s="59">
        <f>X70-Y70</f>
        <v>-1.3566640000000019E-2</v>
      </c>
      <c r="AA70" s="35">
        <f>IF(Z70&gt;0,1,0)</f>
        <v>0</v>
      </c>
      <c r="AB70" s="60">
        <f>SUM(G70,K70,O70,S70,W70,AA70)</f>
        <v>3</v>
      </c>
      <c r="AC70" s="61">
        <f>AB70/6</f>
        <v>0.5</v>
      </c>
      <c r="AD70" s="62" t="str" cm="1">
        <f t="array" ref="AD70">_xlfn.IFS(
AB70=6,"Excellent",
AB70=5,"Strong",
AB70=4,"Good",
AB70=3,"Average",
AB70&lt;=2,"Weak"
)</f>
        <v>Average</v>
      </c>
    </row>
    <row r="71" spans="1:30" x14ac:dyDescent="0.3">
      <c r="A71" s="12" t="s">
        <v>101</v>
      </c>
      <c r="B71" s="10" t="s">
        <v>102</v>
      </c>
      <c r="C71" s="10" t="s">
        <v>71</v>
      </c>
      <c r="D71" s="36">
        <v>2.5430000000000001E-2</v>
      </c>
      <c r="E71" s="36">
        <f>_xlfn.XLOOKUP(C71,Industry_Benchmark!$A$2:$A$82,Industry_Benchmark!$B$2:$B$82,"")</f>
        <v>4.7955999999999999E-2</v>
      </c>
      <c r="F71" s="36">
        <f>D71-E71</f>
        <v>-2.2525999999999997E-2</v>
      </c>
      <c r="G71" s="37">
        <f>IF(F71&gt;0,1,0)</f>
        <v>0</v>
      </c>
      <c r="H71" s="36">
        <v>0.16600000000000001</v>
      </c>
      <c r="I71" s="36">
        <f>_xlfn.XLOOKUP(C71,Industry_Benchmark!$A$2:$A$82,Industry_Benchmark!$C$2:$C$82,"")</f>
        <v>7.6399999999999996E-2</v>
      </c>
      <c r="J71" s="36">
        <f>H71-I71</f>
        <v>8.9600000000000013E-2</v>
      </c>
      <c r="K71" s="37">
        <f>IF(J71&gt;0,1,0)</f>
        <v>1</v>
      </c>
      <c r="L71" s="35">
        <v>1.0149999999999999</v>
      </c>
      <c r="M71" s="35">
        <f>_xlfn.XLOOKUP(C71,Industry_Benchmark!$A$2:$A$82,Industry_Benchmark!$D$2:$D$82,"")</f>
        <v>1.0478000000000001</v>
      </c>
      <c r="N71" s="35">
        <f>L71-M71</f>
        <v>-3.2800000000000162E-2</v>
      </c>
      <c r="O71" s="35">
        <f>IF(N71&gt;0,1,0)</f>
        <v>0</v>
      </c>
      <c r="P71" s="36">
        <v>7.6429999999999998E-2</v>
      </c>
      <c r="Q71" s="36">
        <f>_xlfn.XLOOKUP(C71,Industry_Benchmark!$A$2:$A$82,Industry_Benchmark!$E$2:$E$82,"")</f>
        <v>7.6300002000000006E-2</v>
      </c>
      <c r="R71" s="36">
        <f>P71-Q71</f>
        <v>1.2999799999999229E-4</v>
      </c>
      <c r="S71" s="37">
        <f>IF(R71&gt;0,1,0)</f>
        <v>1</v>
      </c>
      <c r="T71" s="35">
        <v>53.237000000000002</v>
      </c>
      <c r="U71" s="35">
        <f>_xlfn.XLOOKUP(C71,Industry_Benchmark!$A$2:$A$82,Industry_Benchmark!$F$2:$F$82,"")</f>
        <v>118.09080000000002</v>
      </c>
      <c r="V71" s="35">
        <f>T71-U71</f>
        <v>-64.853800000000007</v>
      </c>
      <c r="W71" s="35">
        <f>IF(V71&gt;0,1,0)</f>
        <v>0</v>
      </c>
      <c r="X71" s="36">
        <v>0.30563000000000001</v>
      </c>
      <c r="Y71" s="36">
        <f>_xlfn.XLOOKUP(C71,Industry_Benchmark!$A$2:$A$82,Industry_Benchmark!$G$2:$G$82,"")</f>
        <v>0.30520200399999997</v>
      </c>
      <c r="Z71" s="59">
        <f>X71-Y71</f>
        <v>4.2799600000004157E-4</v>
      </c>
      <c r="AA71" s="35">
        <f>IF(Z71&gt;0,1,0)</f>
        <v>1</v>
      </c>
      <c r="AB71" s="60">
        <f>SUM(G71,K71,O71,S71,W71,AA71)</f>
        <v>3</v>
      </c>
      <c r="AC71" s="61">
        <f>AB71/6</f>
        <v>0.5</v>
      </c>
      <c r="AD71" s="62" t="str" cm="1">
        <f t="array" ref="AD71">_xlfn.IFS(
AB71=6,"Excellent",
AB71=5,"Strong",
AB71=4,"Good",
AB71=3,"Average",
AB71&lt;=2,"Weak"
)</f>
        <v>Average</v>
      </c>
    </row>
    <row r="72" spans="1:30" x14ac:dyDescent="0.3">
      <c r="A72" s="12" t="s">
        <v>106</v>
      </c>
      <c r="B72" s="10" t="s">
        <v>107</v>
      </c>
      <c r="C72" s="10" t="s">
        <v>105</v>
      </c>
      <c r="D72" s="36">
        <v>0.22439999999999999</v>
      </c>
      <c r="E72" s="36">
        <f>_xlfn.XLOOKUP(C72,Industry_Benchmark!$A$2:$A$82,Industry_Benchmark!$B$2:$B$82,"")</f>
        <v>0.1895</v>
      </c>
      <c r="F72" s="36">
        <f>D72-E72</f>
        <v>3.4899999999999987E-2</v>
      </c>
      <c r="G72" s="37">
        <f>IF(F72&gt;0,1,0)</f>
        <v>1</v>
      </c>
      <c r="H72" s="36">
        <v>8.1000000000000003E-2</v>
      </c>
      <c r="I72" s="36">
        <f>_xlfn.XLOOKUP(C72,Industry_Benchmark!$A$2:$A$82,Industry_Benchmark!$C$2:$C$82,"")</f>
        <v>0.10450000000000001</v>
      </c>
      <c r="J72" s="36">
        <f>H72-I72</f>
        <v>-2.3500000000000007E-2</v>
      </c>
      <c r="K72" s="37">
        <f>IF(J72&gt;0,1,0)</f>
        <v>0</v>
      </c>
      <c r="L72" s="35">
        <v>1.6180000000000001</v>
      </c>
      <c r="M72" s="35">
        <f>_xlfn.XLOOKUP(C72,Industry_Benchmark!$A$2:$A$82,Industry_Benchmark!$D$2:$D$82,"")</f>
        <v>1.4995000000000001</v>
      </c>
      <c r="N72" s="35">
        <f>L72-M72</f>
        <v>0.11850000000000005</v>
      </c>
      <c r="O72" s="35">
        <f>IF(N72&gt;0,1,0)</f>
        <v>1</v>
      </c>
      <c r="P72" s="36">
        <v>9.196E-2</v>
      </c>
      <c r="Q72" s="36">
        <f>_xlfn.XLOOKUP(C72,Industry_Benchmark!$A$2:$A$82,Industry_Benchmark!$E$2:$E$82,"")</f>
        <v>9.932000299999999E-2</v>
      </c>
      <c r="R72" s="36">
        <f>P72-Q72</f>
        <v>-7.36000299999999E-3</v>
      </c>
      <c r="S72" s="37">
        <f>IF(R72&gt;0,1,0)</f>
        <v>0</v>
      </c>
      <c r="T72" s="35">
        <v>25.032</v>
      </c>
      <c r="U72" s="35">
        <f>_xlfn.XLOOKUP(C72,Industry_Benchmark!$A$2:$A$82,Industry_Benchmark!$F$2:$F$82,"")</f>
        <v>12.516</v>
      </c>
      <c r="V72" s="35">
        <f>T72-U72</f>
        <v>12.516</v>
      </c>
      <c r="W72" s="35">
        <f>IF(V72&gt;0,1,0)</f>
        <v>1</v>
      </c>
      <c r="X72" s="36">
        <v>0.28190001999999997</v>
      </c>
      <c r="Y72" s="36">
        <f>_xlfn.XLOOKUP(C72,Industry_Benchmark!$A$2:$A$82,Industry_Benchmark!$G$2:$G$82,"")</f>
        <v>0.28190001999999997</v>
      </c>
      <c r="Z72" s="59">
        <f>X72-Y72</f>
        <v>0</v>
      </c>
      <c r="AA72" s="35">
        <f>IF(Z72&gt;0,1,0)</f>
        <v>0</v>
      </c>
      <c r="AB72" s="60">
        <f>SUM(G72,K72,O72,S72,W72,AA72)</f>
        <v>3</v>
      </c>
      <c r="AC72" s="61">
        <f>AB72/6</f>
        <v>0.5</v>
      </c>
      <c r="AD72" s="62" t="str" cm="1">
        <f t="array" ref="AD72">_xlfn.IFS(
AB72=6,"Excellent",
AB72=5,"Strong",
AB72=4,"Good",
AB72=3,"Average",
AB72&lt;=2,"Weak"
)</f>
        <v>Average</v>
      </c>
    </row>
    <row r="73" spans="1:30" x14ac:dyDescent="0.3">
      <c r="A73" s="12" t="s">
        <v>122</v>
      </c>
      <c r="B73" s="10" t="s">
        <v>123</v>
      </c>
      <c r="C73" s="10" t="s">
        <v>98</v>
      </c>
      <c r="D73" s="36">
        <v>0.12731000000000001</v>
      </c>
      <c r="E73" s="36">
        <f>_xlfn.XLOOKUP(C73,Industry_Benchmark!$A$2:$A$82,Industry_Benchmark!$B$2:$B$82,"")</f>
        <v>0.10431499775</v>
      </c>
      <c r="F73" s="36">
        <f>D73-E73</f>
        <v>2.2995002250000007E-2</v>
      </c>
      <c r="G73" s="37">
        <f>IF(F73&gt;0,1,0)</f>
        <v>1</v>
      </c>
      <c r="H73" s="36">
        <v>0.187</v>
      </c>
      <c r="I73" s="36">
        <f>_xlfn.XLOOKUP(C73,Industry_Benchmark!$A$2:$A$82,Industry_Benchmark!$C$2:$C$82,"")</f>
        <v>0.17549999999999999</v>
      </c>
      <c r="J73" s="36">
        <f>H73-I73</f>
        <v>1.150000000000001E-2</v>
      </c>
      <c r="K73" s="37">
        <f>IF(J73&gt;0,1,0)</f>
        <v>1</v>
      </c>
      <c r="L73" s="35">
        <v>1.026</v>
      </c>
      <c r="M73" s="35">
        <f>_xlfn.XLOOKUP(C73,Industry_Benchmark!$A$2:$A$82,Industry_Benchmark!$D$2:$D$82,"")</f>
        <v>0.89124999999999999</v>
      </c>
      <c r="N73" s="35">
        <f>L73-M73</f>
        <v>0.13475000000000004</v>
      </c>
      <c r="O73" s="35">
        <f>IF(N73&gt;0,1,0)</f>
        <v>1</v>
      </c>
      <c r="P73" s="36">
        <v>4.5589999999999999E-2</v>
      </c>
      <c r="Q73" s="36">
        <f>_xlfn.XLOOKUP(C73,Industry_Benchmark!$A$2:$A$82,Industry_Benchmark!$E$2:$E$82,"")</f>
        <v>5.0625000125E-2</v>
      </c>
      <c r="R73" s="36">
        <f>P73-Q73</f>
        <v>-5.0350001250000012E-3</v>
      </c>
      <c r="S73" s="37">
        <f>IF(R73&gt;0,1,0)</f>
        <v>0</v>
      </c>
      <c r="T73" s="35">
        <v>104.661</v>
      </c>
      <c r="U73" s="35">
        <f>_xlfn.XLOOKUP(C73,Industry_Benchmark!$A$2:$A$82,Industry_Benchmark!$F$2:$F$82,"")</f>
        <v>174.17824999999999</v>
      </c>
      <c r="V73" s="35">
        <f>T73-U73</f>
        <v>-69.51724999999999</v>
      </c>
      <c r="W73" s="35">
        <f>IF(V73&gt;0,1,0)</f>
        <v>0</v>
      </c>
      <c r="X73" s="36">
        <v>0.15312000000000001</v>
      </c>
      <c r="Y73" s="36">
        <f>_xlfn.XLOOKUP(C73,Industry_Benchmark!$A$2:$A$82,Industry_Benchmark!$G$2:$G$82,"")</f>
        <v>0.18733000275</v>
      </c>
      <c r="Z73" s="59">
        <f>X73-Y73</f>
        <v>-3.4210002749999996E-2</v>
      </c>
      <c r="AA73" s="35">
        <f>IF(Z73&gt;0,1,0)</f>
        <v>0</v>
      </c>
      <c r="AB73" s="60">
        <f>SUM(G73,K73,O73,S73,W73,AA73)</f>
        <v>3</v>
      </c>
      <c r="AC73" s="61">
        <f>AB73/6</f>
        <v>0.5</v>
      </c>
      <c r="AD73" s="62" t="str" cm="1">
        <f t="array" ref="AD73">_xlfn.IFS(
AB73=6,"Excellent",
AB73=5,"Strong",
AB73=4,"Good",
AB73=3,"Average",
AB73&lt;=2,"Weak"
)</f>
        <v>Average</v>
      </c>
    </row>
    <row r="74" spans="1:30" x14ac:dyDescent="0.3">
      <c r="A74" s="12" t="s">
        <v>170</v>
      </c>
      <c r="B74" s="10" t="s">
        <v>171</v>
      </c>
      <c r="C74" s="10" t="s">
        <v>57</v>
      </c>
      <c r="D74" s="36">
        <v>0.19240999</v>
      </c>
      <c r="E74" s="36">
        <f>_xlfn.XLOOKUP(C74,Industry_Benchmark!$A$2:$A$82,Industry_Benchmark!$B$2:$B$82,"")</f>
        <v>0.24659300000000001</v>
      </c>
      <c r="F74" s="36">
        <f>D74-E74</f>
        <v>-5.4183010000000004E-2</v>
      </c>
      <c r="G74" s="37">
        <f>IF(F74&gt;0,1,0)</f>
        <v>0</v>
      </c>
      <c r="H74" s="36">
        <v>0.48799999999999999</v>
      </c>
      <c r="I74" s="36">
        <f>_xlfn.XLOOKUP(C74,Industry_Benchmark!$A$2:$A$82,Industry_Benchmark!$C$2:$C$82,"")</f>
        <v>0.30759999999999998</v>
      </c>
      <c r="J74" s="36">
        <f>H74-I74</f>
        <v>0.1804</v>
      </c>
      <c r="K74" s="37">
        <f>IF(J74&gt;0,1,0)</f>
        <v>1</v>
      </c>
      <c r="L74" s="35">
        <v>2.024</v>
      </c>
      <c r="M74" s="35">
        <f>_xlfn.XLOOKUP(C74,Industry_Benchmark!$A$2:$A$82,Industry_Benchmark!$D$2:$D$82,"")</f>
        <v>2.9108000000000001</v>
      </c>
      <c r="N74" s="35">
        <f>L74-M74</f>
        <v>-0.88680000000000003</v>
      </c>
      <c r="O74" s="35">
        <f>IF(N74&gt;0,1,0)</f>
        <v>0</v>
      </c>
      <c r="P74" s="36">
        <v>0.21326999999999999</v>
      </c>
      <c r="Q74" s="36">
        <f>_xlfn.XLOOKUP(C74,Industry_Benchmark!$A$2:$A$82,Industry_Benchmark!$E$2:$E$82,"")</f>
        <v>0.1215560017</v>
      </c>
      <c r="R74" s="36">
        <f>P74-Q74</f>
        <v>9.1713998299999988E-2</v>
      </c>
      <c r="S74" s="37">
        <f>IF(R74&gt;0,1,0)</f>
        <v>1</v>
      </c>
      <c r="T74" s="35">
        <v>9.7639999999999993</v>
      </c>
      <c r="U74" s="35">
        <f>_xlfn.XLOOKUP(C74,Industry_Benchmark!$A$2:$A$82,Industry_Benchmark!$F$2:$F$82,"")</f>
        <v>77.073399999999992</v>
      </c>
      <c r="V74" s="35">
        <f>T74-U74</f>
        <v>-67.309399999999997</v>
      </c>
      <c r="W74" s="35">
        <f>IF(V74&gt;0,1,0)</f>
        <v>0</v>
      </c>
      <c r="X74" s="36">
        <v>0.47427999999999998</v>
      </c>
      <c r="Y74" s="36">
        <f>_xlfn.XLOOKUP(C74,Industry_Benchmark!$A$2:$A$82,Industry_Benchmark!$G$2:$G$82,"")</f>
        <v>0.37541199820000004</v>
      </c>
      <c r="Z74" s="59">
        <f>X74-Y74</f>
        <v>9.8868001799999938E-2</v>
      </c>
      <c r="AA74" s="35">
        <f>IF(Z74&gt;0,1,0)</f>
        <v>1</v>
      </c>
      <c r="AB74" s="60">
        <f>SUM(G74,K74,O74,S74,W74,AA74)</f>
        <v>3</v>
      </c>
      <c r="AC74" s="61">
        <f>AB74/6</f>
        <v>0.5</v>
      </c>
      <c r="AD74" s="62" t="str" cm="1">
        <f t="array" ref="AD74">_xlfn.IFS(
AB74=6,"Excellent",
AB74=5,"Strong",
AB74=4,"Good",
AB74=3,"Average",
AB74&lt;=2,"Weak"
)</f>
        <v>Average</v>
      </c>
    </row>
    <row r="75" spans="1:30" x14ac:dyDescent="0.3">
      <c r="A75" s="12" t="s">
        <v>180</v>
      </c>
      <c r="B75" s="10" t="s">
        <v>181</v>
      </c>
      <c r="C75" s="10" t="s">
        <v>179</v>
      </c>
      <c r="D75" s="36">
        <v>0.36446998000000003</v>
      </c>
      <c r="E75" s="36">
        <f>_xlfn.XLOOKUP(C75,Industry_Benchmark!$A$2:$A$82,Industry_Benchmark!$B$2:$B$82,"")</f>
        <v>0.40717199600000004</v>
      </c>
      <c r="F75" s="36">
        <f>D75-E75</f>
        <v>-4.2702016000000009E-2</v>
      </c>
      <c r="G75" s="37">
        <f>IF(F75&gt;0,1,0)</f>
        <v>0</v>
      </c>
      <c r="H75" s="36">
        <v>0.11799999999999999</v>
      </c>
      <c r="I75" s="36">
        <f>_xlfn.XLOOKUP(C75,Industry_Benchmark!$A$2:$A$82,Industry_Benchmark!$C$2:$C$82,"")</f>
        <v>0.15279999999999999</v>
      </c>
      <c r="J75" s="36">
        <f>H75-I75</f>
        <v>-3.4799999999999998E-2</v>
      </c>
      <c r="K75" s="37">
        <f>IF(J75&gt;0,1,0)</f>
        <v>0</v>
      </c>
      <c r="L75" s="35">
        <v>2.3090000000000002</v>
      </c>
      <c r="M75" s="35">
        <f>_xlfn.XLOOKUP(C75,Industry_Benchmark!$A$2:$A$82,Industry_Benchmark!$D$2:$D$82,"")</f>
        <v>1.5326</v>
      </c>
      <c r="N75" s="35">
        <f>L75-M75</f>
        <v>0.7764000000000002</v>
      </c>
      <c r="O75" s="35">
        <f>IF(N75&gt;0,1,0)</f>
        <v>1</v>
      </c>
      <c r="P75" s="36">
        <v>0.20552999</v>
      </c>
      <c r="Q75" s="36">
        <f>_xlfn.XLOOKUP(C75,Industry_Benchmark!$A$2:$A$82,Industry_Benchmark!$E$2:$E$82,"")</f>
        <v>0.10174799999999999</v>
      </c>
      <c r="R75" s="36">
        <f>P75-Q75</f>
        <v>0.10378199</v>
      </c>
      <c r="S75" s="37">
        <f>IF(R75&gt;0,1,0)</f>
        <v>1</v>
      </c>
      <c r="T75" s="35">
        <v>89.811999999999998</v>
      </c>
      <c r="U75" s="35">
        <f>_xlfn.XLOOKUP(C75,Industry_Benchmark!$A$2:$A$82,Industry_Benchmark!$F$2:$F$82,"")</f>
        <v>95.873400000000004</v>
      </c>
      <c r="V75" s="35">
        <f>T75-U75</f>
        <v>-6.0614000000000061</v>
      </c>
      <c r="W75" s="35">
        <f>IF(V75&gt;0,1,0)</f>
        <v>0</v>
      </c>
      <c r="X75" s="36">
        <v>0.73424999999999996</v>
      </c>
      <c r="Y75" s="36">
        <f>_xlfn.XLOOKUP(C75,Industry_Benchmark!$A$2:$A$82,Industry_Benchmark!$G$2:$G$82,"")</f>
        <v>0.48719750249999999</v>
      </c>
      <c r="Z75" s="59">
        <f>X75-Y75</f>
        <v>0.24705249749999997</v>
      </c>
      <c r="AA75" s="35">
        <f>IF(Z75&gt;0,1,0)</f>
        <v>1</v>
      </c>
      <c r="AB75" s="60">
        <f>SUM(G75,K75,O75,S75,W75,AA75)</f>
        <v>3</v>
      </c>
      <c r="AC75" s="61">
        <f>AB75/6</f>
        <v>0.5</v>
      </c>
      <c r="AD75" s="62" t="str" cm="1">
        <f t="array" ref="AD75">_xlfn.IFS(
AB75=6,"Excellent",
AB75=5,"Strong",
AB75=4,"Good",
AB75=3,"Average",
AB75&lt;=2,"Weak"
)</f>
        <v>Average</v>
      </c>
    </row>
    <row r="76" spans="1:30" x14ac:dyDescent="0.3">
      <c r="A76" s="12" t="s">
        <v>233</v>
      </c>
      <c r="B76" s="10" t="s">
        <v>234</v>
      </c>
      <c r="C76" s="10" t="s">
        <v>74</v>
      </c>
      <c r="D76" s="36">
        <v>0.17829001</v>
      </c>
      <c r="E76" s="36">
        <f>_xlfn.XLOOKUP(C76,Industry_Benchmark!$A$2:$A$82,Industry_Benchmark!$B$2:$B$82,"")</f>
        <v>0.14528250400000001</v>
      </c>
      <c r="F76" s="36">
        <f>D76-E76</f>
        <v>3.3007505999999992E-2</v>
      </c>
      <c r="G76" s="37">
        <f>IF(F76&gt;0,1,0)</f>
        <v>1</v>
      </c>
      <c r="H76" s="36">
        <v>0.23300000000000001</v>
      </c>
      <c r="I76" s="36">
        <f>_xlfn.XLOOKUP(C76,Industry_Benchmark!$A$2:$A$82,Industry_Benchmark!$C$2:$C$82,"")</f>
        <v>8.475000000000002E-2</v>
      </c>
      <c r="J76" s="36">
        <f>H76-I76</f>
        <v>0.14824999999999999</v>
      </c>
      <c r="K76" s="37">
        <f>IF(J76&gt;0,1,0)</f>
        <v>1</v>
      </c>
      <c r="L76" s="35">
        <v>1.7829999999999999</v>
      </c>
      <c r="M76" s="35">
        <f>_xlfn.XLOOKUP(C76,Industry_Benchmark!$A$2:$A$82,Industry_Benchmark!$D$2:$D$82,"")</f>
        <v>1.0912500000000001</v>
      </c>
      <c r="N76" s="35">
        <f>L76-M76</f>
        <v>0.69174999999999986</v>
      </c>
      <c r="O76" s="35">
        <f>IF(N76&gt;0,1,0)</f>
        <v>1</v>
      </c>
      <c r="P76" s="36">
        <v>0.10375</v>
      </c>
      <c r="Q76" s="36">
        <f>_xlfn.XLOOKUP(C76,Industry_Benchmark!$A$2:$A$82,Industry_Benchmark!$E$2:$E$82,"")</f>
        <v>0.113515</v>
      </c>
      <c r="R76" s="36">
        <f>P76-Q76</f>
        <v>-9.7650000000000098E-3</v>
      </c>
      <c r="S76" s="37">
        <f>IF(R76&gt;0,1,0)</f>
        <v>0</v>
      </c>
      <c r="T76" s="35">
        <v>114.934</v>
      </c>
      <c r="U76" s="35">
        <f>_xlfn.XLOOKUP(C76,Industry_Benchmark!$A$2:$A$82,Industry_Benchmark!$F$2:$F$82,"")</f>
        <v>560.26625000000001</v>
      </c>
      <c r="V76" s="35">
        <f>T76-U76</f>
        <v>-445.33225000000004</v>
      </c>
      <c r="W76" s="35">
        <f>IF(V76&gt;0,1,0)</f>
        <v>0</v>
      </c>
      <c r="X76" s="36">
        <v>0.53242999999999996</v>
      </c>
      <c r="Y76" s="36">
        <f>_xlfn.XLOOKUP(C76,Industry_Benchmark!$A$2:$A$82,Industry_Benchmark!$G$2:$G$82,"")</f>
        <v>1.3491249999999999</v>
      </c>
      <c r="Z76" s="59">
        <f>X76-Y76</f>
        <v>-0.81669499999999995</v>
      </c>
      <c r="AA76" s="35">
        <f>IF(Z76&gt;0,1,0)</f>
        <v>0</v>
      </c>
      <c r="AB76" s="60">
        <f>SUM(G76,K76,O76,S76,W76,AA76)</f>
        <v>3</v>
      </c>
      <c r="AC76" s="61">
        <f>AB76/6</f>
        <v>0.5</v>
      </c>
      <c r="AD76" s="62" t="str" cm="1">
        <f t="array" ref="AD76">_xlfn.IFS(
AB76=6,"Excellent",
AB76=5,"Strong",
AB76=4,"Good",
AB76=3,"Average",
AB76&lt;=2,"Weak"
)</f>
        <v>Average</v>
      </c>
    </row>
    <row r="77" spans="1:30" x14ac:dyDescent="0.3">
      <c r="A77" s="12" t="s">
        <v>246</v>
      </c>
      <c r="B77" s="10" t="s">
        <v>247</v>
      </c>
      <c r="C77" s="10" t="s">
        <v>245</v>
      </c>
      <c r="D77" s="36">
        <v>0.21836</v>
      </c>
      <c r="E77" s="36">
        <f>_xlfn.XLOOKUP(C77,Industry_Benchmark!$A$2:$A$82,Industry_Benchmark!$B$2:$B$82,"")</f>
        <v>0.10666250150000001</v>
      </c>
      <c r="F77" s="36">
        <f>D77-E77</f>
        <v>0.11169749849999999</v>
      </c>
      <c r="G77" s="37">
        <f>IF(F77&gt;0,1,0)</f>
        <v>1</v>
      </c>
      <c r="H77" s="36">
        <v>0.14000000000000001</v>
      </c>
      <c r="I77" s="36">
        <f>_xlfn.XLOOKUP(C77,Industry_Benchmark!$A$2:$A$82,Industry_Benchmark!$C$2:$C$82,"")</f>
        <v>0.12125000000000001</v>
      </c>
      <c r="J77" s="36">
        <f>H77-I77</f>
        <v>1.8750000000000003E-2</v>
      </c>
      <c r="K77" s="37">
        <f>IF(J77&gt;0,1,0)</f>
        <v>1</v>
      </c>
      <c r="L77" s="35">
        <v>0.34200000000000003</v>
      </c>
      <c r="M77" s="35">
        <f>_xlfn.XLOOKUP(C77,Industry_Benchmark!$A$2:$A$82,Industry_Benchmark!$D$2:$D$82,"")</f>
        <v>0.36975000000000002</v>
      </c>
      <c r="N77" s="35">
        <f>L77-M77</f>
        <v>-2.7749999999999997E-2</v>
      </c>
      <c r="O77" s="35">
        <f>IF(N77&gt;0,1,0)</f>
        <v>0</v>
      </c>
      <c r="P77" s="36">
        <v>2.5390000999999999E-2</v>
      </c>
      <c r="Q77" s="36">
        <f>_xlfn.XLOOKUP(C77,Industry_Benchmark!$A$2:$A$82,Industry_Benchmark!$E$2:$E$82,"")</f>
        <v>3.255500075E-2</v>
      </c>
      <c r="R77" s="36">
        <f>P77-Q77</f>
        <v>-7.1649997500000014E-3</v>
      </c>
      <c r="S77" s="37">
        <f>IF(R77&gt;0,1,0)</f>
        <v>0</v>
      </c>
      <c r="T77" s="35">
        <v>32.665999999999997</v>
      </c>
      <c r="U77" s="35">
        <f>_xlfn.XLOOKUP(C77,Industry_Benchmark!$A$2:$A$82,Industry_Benchmark!$F$2:$F$82,"")</f>
        <v>29.932749999999999</v>
      </c>
      <c r="V77" s="35">
        <f>T77-U77</f>
        <v>2.7332499999999982</v>
      </c>
      <c r="W77" s="35">
        <f>IF(V77&gt;0,1,0)</f>
        <v>1</v>
      </c>
      <c r="X77" s="36">
        <v>0.15235000000000001</v>
      </c>
      <c r="Y77" s="36">
        <f>_xlfn.XLOOKUP(C77,Industry_Benchmark!$A$2:$A$82,Industry_Benchmark!$G$2:$G$82,"")</f>
        <v>0.16450249750000001</v>
      </c>
      <c r="Z77" s="59">
        <f>X77-Y77</f>
        <v>-1.2152497499999998E-2</v>
      </c>
      <c r="AA77" s="35">
        <f>IF(Z77&gt;0,1,0)</f>
        <v>0</v>
      </c>
      <c r="AB77" s="60">
        <f>SUM(G77,K77,O77,S77,W77,AA77)</f>
        <v>3</v>
      </c>
      <c r="AC77" s="61">
        <f>AB77/6</f>
        <v>0.5</v>
      </c>
      <c r="AD77" s="62" t="str" cm="1">
        <f t="array" ref="AD77">_xlfn.IFS(
AB77=6,"Excellent",
AB77=5,"Strong",
AB77=4,"Good",
AB77=3,"Average",
AB77&lt;=2,"Weak"
)</f>
        <v>Average</v>
      </c>
    </row>
    <row r="78" spans="1:30" x14ac:dyDescent="0.3">
      <c r="A78" s="12" t="s">
        <v>253</v>
      </c>
      <c r="B78" s="10" t="s">
        <v>254</v>
      </c>
      <c r="C78" s="10" t="s">
        <v>57</v>
      </c>
      <c r="D78" s="36">
        <v>0.24861999000000001</v>
      </c>
      <c r="E78" s="36">
        <f>_xlfn.XLOOKUP(C78,Industry_Benchmark!$A$2:$A$82,Industry_Benchmark!$B$2:$B$82,"")</f>
        <v>0.24659300000000001</v>
      </c>
      <c r="F78" s="36">
        <f>D78-E78</f>
        <v>2.0269900000000063E-3</v>
      </c>
      <c r="G78" s="37">
        <f>IF(F78&gt;0,1,0)</f>
        <v>1</v>
      </c>
      <c r="H78" s="36">
        <v>0.33200000000000002</v>
      </c>
      <c r="I78" s="36">
        <f>_xlfn.XLOOKUP(C78,Industry_Benchmark!$A$2:$A$82,Industry_Benchmark!$C$2:$C$82,"")</f>
        <v>0.30759999999999998</v>
      </c>
      <c r="J78" s="36">
        <f>H78-I78</f>
        <v>2.4400000000000033E-2</v>
      </c>
      <c r="K78" s="37">
        <f>IF(J78&gt;0,1,0)</f>
        <v>1</v>
      </c>
      <c r="L78" s="35">
        <v>3.101</v>
      </c>
      <c r="M78" s="35">
        <f>_xlfn.XLOOKUP(C78,Industry_Benchmark!$A$2:$A$82,Industry_Benchmark!$D$2:$D$82,"")</f>
        <v>2.9108000000000001</v>
      </c>
      <c r="N78" s="35">
        <f>L78-M78</f>
        <v>0.19019999999999992</v>
      </c>
      <c r="O78" s="35">
        <f>IF(N78&gt;0,1,0)</f>
        <v>1</v>
      </c>
      <c r="P78" s="36">
        <v>9.3430004999999997E-2</v>
      </c>
      <c r="Q78" s="36">
        <f>_xlfn.XLOOKUP(C78,Industry_Benchmark!$A$2:$A$82,Industry_Benchmark!$E$2:$E$82,"")</f>
        <v>0.1215560017</v>
      </c>
      <c r="R78" s="36">
        <f>P78-Q78</f>
        <v>-2.8125996700000003E-2</v>
      </c>
      <c r="S78" s="37">
        <f>IF(R78&gt;0,1,0)</f>
        <v>0</v>
      </c>
      <c r="T78" s="35">
        <v>16.561</v>
      </c>
      <c r="U78" s="35">
        <f>_xlfn.XLOOKUP(C78,Industry_Benchmark!$A$2:$A$82,Industry_Benchmark!$F$2:$F$82,"")</f>
        <v>77.073399999999992</v>
      </c>
      <c r="V78" s="35">
        <f>T78-U78</f>
        <v>-60.512399999999992</v>
      </c>
      <c r="W78" s="35">
        <f>IF(V78&gt;0,1,0)</f>
        <v>0</v>
      </c>
      <c r="X78" s="36">
        <v>0.17163</v>
      </c>
      <c r="Y78" s="36">
        <f>_xlfn.XLOOKUP(C78,Industry_Benchmark!$A$2:$A$82,Industry_Benchmark!$G$2:$G$82,"")</f>
        <v>0.37541199820000004</v>
      </c>
      <c r="Z78" s="59">
        <f>X78-Y78</f>
        <v>-0.20378199820000004</v>
      </c>
      <c r="AA78" s="35">
        <f>IF(Z78&gt;0,1,0)</f>
        <v>0</v>
      </c>
      <c r="AB78" s="60">
        <f>SUM(G78,K78,O78,S78,W78,AA78)</f>
        <v>3</v>
      </c>
      <c r="AC78" s="61">
        <f>AB78/6</f>
        <v>0.5</v>
      </c>
      <c r="AD78" s="62" t="str" cm="1">
        <f t="array" ref="AD78">_xlfn.IFS(
AB78=6,"Excellent",
AB78=5,"Strong",
AB78=4,"Good",
AB78=3,"Average",
AB78&lt;=2,"Weak"
)</f>
        <v>Average</v>
      </c>
    </row>
    <row r="79" spans="1:30" x14ac:dyDescent="0.3">
      <c r="A79" s="12" t="s">
        <v>267</v>
      </c>
      <c r="B79" s="10" t="s">
        <v>268</v>
      </c>
      <c r="C79" s="10" t="s">
        <v>146</v>
      </c>
      <c r="D79" s="36">
        <v>0.30259999999999998</v>
      </c>
      <c r="E79" s="36">
        <f>_xlfn.XLOOKUP(C79,Industry_Benchmark!$A$2:$A$82,Industry_Benchmark!$B$2:$B$82,"")</f>
        <v>0.29006333333333334</v>
      </c>
      <c r="F79" s="36">
        <f>D79-E79</f>
        <v>1.253666666666664E-2</v>
      </c>
      <c r="G79" s="37">
        <f>IF(F79&gt;0,1,0)</f>
        <v>1</v>
      </c>
      <c r="H79" s="36">
        <v>0.24299999999999999</v>
      </c>
      <c r="I79" s="36">
        <f>_xlfn.XLOOKUP(C79,Industry_Benchmark!$A$2:$A$82,Industry_Benchmark!$C$2:$C$82,"")</f>
        <v>0.16533333333333333</v>
      </c>
      <c r="J79" s="36">
        <f>H79-I79</f>
        <v>7.7666666666666662E-2</v>
      </c>
      <c r="K79" s="37">
        <f>IF(J79&gt;0,1,0)</f>
        <v>1</v>
      </c>
      <c r="L79" s="35">
        <v>1.718</v>
      </c>
      <c r="M79" s="35">
        <f>_xlfn.XLOOKUP(C79,Industry_Benchmark!$A$2:$A$82,Industry_Benchmark!$D$2:$D$82,"")</f>
        <v>1.155</v>
      </c>
      <c r="N79" s="35">
        <f>L79-M79</f>
        <v>0.56299999999999994</v>
      </c>
      <c r="O79" s="35">
        <f>IF(N79&gt;0,1,0)</f>
        <v>1</v>
      </c>
      <c r="P79" s="36">
        <v>8.0369994E-2</v>
      </c>
      <c r="Q79" s="36">
        <f>_xlfn.XLOOKUP(C79,Industry_Benchmark!$A$2:$A$82,Industry_Benchmark!$E$2:$E$82,"")</f>
        <v>8.1653329666666663E-2</v>
      </c>
      <c r="R79" s="36">
        <f>P79-Q79</f>
        <v>-1.2833356666666629E-3</v>
      </c>
      <c r="S79" s="37">
        <f>IF(R79&gt;0,1,0)</f>
        <v>0</v>
      </c>
      <c r="T79" s="35">
        <v>128.113</v>
      </c>
      <c r="U79" s="35">
        <f>_xlfn.XLOOKUP(C79,Industry_Benchmark!$A$2:$A$82,Industry_Benchmark!$F$2:$F$82,"")</f>
        <v>151.30633333333336</v>
      </c>
      <c r="V79" s="35">
        <f>T79-U79</f>
        <v>-23.193333333333356</v>
      </c>
      <c r="W79" s="35">
        <f>IF(V79&gt;0,1,0)</f>
        <v>0</v>
      </c>
      <c r="X79" s="36">
        <v>0.27854002</v>
      </c>
      <c r="Y79" s="36">
        <f>_xlfn.XLOOKUP(C79,Industry_Benchmark!$A$2:$A$82,Industry_Benchmark!$G$2:$G$82,"")</f>
        <v>0.30002334000000003</v>
      </c>
      <c r="Z79" s="59">
        <f>X79-Y79</f>
        <v>-2.1483320000000028E-2</v>
      </c>
      <c r="AA79" s="35">
        <f>IF(Z79&gt;0,1,0)</f>
        <v>0</v>
      </c>
      <c r="AB79" s="60">
        <f>SUM(G79,K79,O79,S79,W79,AA79)</f>
        <v>3</v>
      </c>
      <c r="AC79" s="61">
        <f>AB79/6</f>
        <v>0.5</v>
      </c>
      <c r="AD79" s="62" t="str" cm="1">
        <f t="array" ref="AD79">_xlfn.IFS(
AB79=6,"Excellent",
AB79=5,"Strong",
AB79=4,"Good",
AB79=3,"Average",
AB79&lt;=2,"Weak"
)</f>
        <v>Average</v>
      </c>
    </row>
    <row r="80" spans="1:30" x14ac:dyDescent="0.3">
      <c r="A80" s="12" t="s">
        <v>287</v>
      </c>
      <c r="B80" s="10" t="s">
        <v>288</v>
      </c>
      <c r="C80" s="10" t="s">
        <v>155</v>
      </c>
      <c r="D80" s="36">
        <v>0.10353</v>
      </c>
      <c r="E80" s="36">
        <f>_xlfn.XLOOKUP(C80,Industry_Benchmark!$A$2:$A$82,Industry_Benchmark!$B$2:$B$82,"")</f>
        <v>0.13919999833333332</v>
      </c>
      <c r="F80" s="36">
        <f>D80-E80</f>
        <v>-3.5669998333333328E-2</v>
      </c>
      <c r="G80" s="37">
        <f>IF(F80&gt;0,1,0)</f>
        <v>0</v>
      </c>
      <c r="H80" s="36">
        <v>0.127</v>
      </c>
      <c r="I80" s="36">
        <f>_xlfn.XLOOKUP(C80,Industry_Benchmark!$A$2:$A$82,Industry_Benchmark!$C$2:$C$82,"")</f>
        <v>3.0333333333333337E-2</v>
      </c>
      <c r="J80" s="36">
        <f>H80-I80</f>
        <v>9.6666666666666665E-2</v>
      </c>
      <c r="K80" s="37">
        <f>IF(J80&gt;0,1,0)</f>
        <v>1</v>
      </c>
      <c r="L80" s="35">
        <v>0.82099999999999995</v>
      </c>
      <c r="M80" s="35">
        <f>_xlfn.XLOOKUP(C80,Industry_Benchmark!$A$2:$A$82,Industry_Benchmark!$D$2:$D$82,"")</f>
        <v>0.65966666666666662</v>
      </c>
      <c r="N80" s="35">
        <f>L80-M80</f>
        <v>0.16133333333333333</v>
      </c>
      <c r="O80" s="35">
        <f>IF(N80&gt;0,1,0)</f>
        <v>1</v>
      </c>
      <c r="P80" s="36">
        <v>2.0380002000000001E-2</v>
      </c>
      <c r="Q80" s="36">
        <f>_xlfn.XLOOKUP(C80,Industry_Benchmark!$A$2:$A$82,Industry_Benchmark!$E$2:$E$82,"")</f>
        <v>2.127833375E-2</v>
      </c>
      <c r="R80" s="36">
        <f>P80-Q80</f>
        <v>-8.9833174999999835E-4</v>
      </c>
      <c r="S80" s="37">
        <f>IF(R80&gt;0,1,0)</f>
        <v>0</v>
      </c>
      <c r="T80" s="35">
        <v>170.41499999999999</v>
      </c>
      <c r="U80" s="35">
        <f>_xlfn.XLOOKUP(C80,Industry_Benchmark!$A$2:$A$82,Industry_Benchmark!$F$2:$F$82,"")</f>
        <v>151.27916666666667</v>
      </c>
      <c r="V80" s="35">
        <f>T80-U80</f>
        <v>19.135833333333323</v>
      </c>
      <c r="W80" s="35">
        <f>IF(V80&gt;0,1,0)</f>
        <v>1</v>
      </c>
      <c r="X80" s="36">
        <v>7.0480000000000001E-2</v>
      </c>
      <c r="Y80" s="36">
        <f>_xlfn.XLOOKUP(C80,Industry_Benchmark!$A$2:$A$82,Industry_Benchmark!$G$2:$G$82,"")</f>
        <v>8.0088333333333345E-2</v>
      </c>
      <c r="Z80" s="59">
        <f>X80-Y80</f>
        <v>-9.6083333333333437E-3</v>
      </c>
      <c r="AA80" s="35">
        <f>IF(Z80&gt;0,1,0)</f>
        <v>0</v>
      </c>
      <c r="AB80" s="60">
        <f>SUM(G80,K80,O80,S80,W80,AA80)</f>
        <v>3</v>
      </c>
      <c r="AC80" s="61">
        <f>AB80/6</f>
        <v>0.5</v>
      </c>
      <c r="AD80" s="62" t="str" cm="1">
        <f t="array" ref="AD80">_xlfn.IFS(
AB80=6,"Excellent",
AB80=5,"Strong",
AB80=4,"Good",
AB80=3,"Average",
AB80&lt;=2,"Weak"
)</f>
        <v>Average</v>
      </c>
    </row>
    <row r="81" spans="1:30" x14ac:dyDescent="0.3">
      <c r="A81" s="12" t="s">
        <v>301</v>
      </c>
      <c r="B81" s="10" t="s">
        <v>302</v>
      </c>
      <c r="C81" s="10" t="s">
        <v>182</v>
      </c>
      <c r="D81" s="36">
        <v>0.18018000000000001</v>
      </c>
      <c r="E81" s="36">
        <f>_xlfn.XLOOKUP(C81,Industry_Benchmark!$A$2:$A$82,Industry_Benchmark!$B$2:$B$82,"")</f>
        <v>0.11456799980000001</v>
      </c>
      <c r="F81" s="36">
        <f>D81-E81</f>
        <v>6.5612000199999992E-2</v>
      </c>
      <c r="G81" s="37">
        <f>IF(F81&gt;0,1,0)</f>
        <v>1</v>
      </c>
      <c r="H81" s="36">
        <v>1.2649999999999999</v>
      </c>
      <c r="I81" s="36">
        <f>_xlfn.XLOOKUP(C81,Industry_Benchmark!$A$2:$A$82,Industry_Benchmark!$C$2:$C$82,"")</f>
        <v>1.5185999999999999</v>
      </c>
      <c r="J81" s="36">
        <f>H81-I81</f>
        <v>-0.25360000000000005</v>
      </c>
      <c r="K81" s="37">
        <f>IF(J81&gt;0,1,0)</f>
        <v>0</v>
      </c>
      <c r="L81" s="35">
        <v>2.109</v>
      </c>
      <c r="M81" s="35">
        <f>_xlfn.XLOOKUP(C81,Industry_Benchmark!$A$2:$A$82,Industry_Benchmark!$D$2:$D$82,"")</f>
        <v>1.4501999999999999</v>
      </c>
      <c r="N81" s="35">
        <f>L81-M81</f>
        <v>0.65880000000000005</v>
      </c>
      <c r="O81" s="35">
        <f>IF(N81&gt;0,1,0)</f>
        <v>1</v>
      </c>
      <c r="P81" s="36">
        <v>6.9769999999999999E-2</v>
      </c>
      <c r="Q81" s="36">
        <f>_xlfn.XLOOKUP(C81,Industry_Benchmark!$A$2:$A$82,Industry_Benchmark!$E$2:$E$82,"")</f>
        <v>9.155399979999998E-2</v>
      </c>
      <c r="R81" s="36">
        <f>P81-Q81</f>
        <v>-2.1783999799999981E-2</v>
      </c>
      <c r="S81" s="37">
        <f>IF(R81&gt;0,1,0)</f>
        <v>0</v>
      </c>
      <c r="T81" s="35">
        <v>24.658999999999999</v>
      </c>
      <c r="U81" s="35">
        <f>_xlfn.XLOOKUP(C81,Industry_Benchmark!$A$2:$A$82,Industry_Benchmark!$F$2:$F$82,"")</f>
        <v>71.088200000000001</v>
      </c>
      <c r="V81" s="35">
        <f>T81-U81</f>
        <v>-46.429200000000002</v>
      </c>
      <c r="W81" s="35">
        <f>IF(V81&gt;0,1,0)</f>
        <v>0</v>
      </c>
      <c r="X81" s="36">
        <v>0.14394000000000001</v>
      </c>
      <c r="Y81" s="36">
        <f>_xlfn.XLOOKUP(C81,Industry_Benchmark!$A$2:$A$82,Industry_Benchmark!$G$2:$G$82,"")</f>
        <v>0.13806800200000002</v>
      </c>
      <c r="Z81" s="59">
        <f>X81-Y81</f>
        <v>5.8719979999999894E-3</v>
      </c>
      <c r="AA81" s="35">
        <f>IF(Z81&gt;0,1,0)</f>
        <v>1</v>
      </c>
      <c r="AB81" s="60">
        <f>SUM(G81,K81,O81,S81,W81,AA81)</f>
        <v>3</v>
      </c>
      <c r="AC81" s="61">
        <f>AB81/6</f>
        <v>0.5</v>
      </c>
      <c r="AD81" s="62" t="str" cm="1">
        <f t="array" ref="AD81">_xlfn.IFS(
AB81=6,"Excellent",
AB81=5,"Strong",
AB81=4,"Good",
AB81=3,"Average",
AB81&lt;=2,"Weak"
)</f>
        <v>Average</v>
      </c>
    </row>
    <row r="82" spans="1:30" x14ac:dyDescent="0.3">
      <c r="A82" s="12" t="s">
        <v>313</v>
      </c>
      <c r="B82" s="10" t="s">
        <v>314</v>
      </c>
      <c r="C82" s="10" t="s">
        <v>54</v>
      </c>
      <c r="D82" s="36">
        <v>0.13156000000000001</v>
      </c>
      <c r="E82" s="36">
        <f>_xlfn.XLOOKUP(C82,Industry_Benchmark!$A$2:$A$82,Industry_Benchmark!$B$2:$B$82,"")</f>
        <v>9.4826665333333338E-2</v>
      </c>
      <c r="F82" s="36">
        <f>D82-E82</f>
        <v>3.6733334666666673E-2</v>
      </c>
      <c r="G82" s="37">
        <f>IF(F82&gt;0,1,0)</f>
        <v>1</v>
      </c>
      <c r="H82" s="36">
        <v>4.8000000000000001E-2</v>
      </c>
      <c r="I82" s="36">
        <f>_xlfn.XLOOKUP(C82,Industry_Benchmark!$A$2:$A$82,Industry_Benchmark!$C$2:$C$82,"")</f>
        <v>0.17033333333333334</v>
      </c>
      <c r="J82" s="36">
        <f>H82-I82</f>
        <v>-0.12233333333333334</v>
      </c>
      <c r="K82" s="37">
        <f>IF(J82&gt;0,1,0)</f>
        <v>0</v>
      </c>
      <c r="L82" s="35">
        <v>1.2010000000000001</v>
      </c>
      <c r="M82" s="35">
        <f>_xlfn.XLOOKUP(C82,Industry_Benchmark!$A$2:$A$82,Industry_Benchmark!$D$2:$D$82,"")</f>
        <v>1.2296666666666667</v>
      </c>
      <c r="N82" s="35">
        <f>L82-M82</f>
        <v>-2.8666666666666618E-2</v>
      </c>
      <c r="O82" s="35">
        <f>IF(N82&gt;0,1,0)</f>
        <v>0</v>
      </c>
      <c r="P82" s="36">
        <v>2.5239998E-2</v>
      </c>
      <c r="Q82" s="36">
        <f>_xlfn.XLOOKUP(C82,Industry_Benchmark!$A$2:$A$82,Industry_Benchmark!$E$2:$E$82,"")</f>
        <v>3.6796666666666665E-2</v>
      </c>
      <c r="R82" s="36">
        <f>P82-Q82</f>
        <v>-1.1556668666666665E-2</v>
      </c>
      <c r="S82" s="37">
        <f>IF(R82&gt;0,1,0)</f>
        <v>0</v>
      </c>
      <c r="T82" s="35">
        <v>286.87599999999998</v>
      </c>
      <c r="U82" s="35">
        <f>_xlfn.XLOOKUP(C82,Industry_Benchmark!$A$2:$A$82,Industry_Benchmark!$F$2:$F$82,"")</f>
        <v>163.52166666666665</v>
      </c>
      <c r="V82" s="35">
        <f>T82-U82</f>
        <v>123.35433333333333</v>
      </c>
      <c r="W82" s="35">
        <f>IF(V82&gt;0,1,0)</f>
        <v>1</v>
      </c>
      <c r="X82" s="36">
        <v>0.45095003</v>
      </c>
      <c r="Y82" s="36">
        <f>_xlfn.XLOOKUP(C82,Industry_Benchmark!$A$2:$A$82,Industry_Benchmark!$G$2:$G$82,"")</f>
        <v>0.25986000999999997</v>
      </c>
      <c r="Z82" s="59">
        <f>X82-Y82</f>
        <v>0.19109002000000003</v>
      </c>
      <c r="AA82" s="35">
        <f>IF(Z82&gt;0,1,0)</f>
        <v>1</v>
      </c>
      <c r="AB82" s="60">
        <f>SUM(G82,K82,O82,S82,W82,AA82)</f>
        <v>3</v>
      </c>
      <c r="AC82" s="61">
        <f>AB82/6</f>
        <v>0.5</v>
      </c>
      <c r="AD82" s="62" t="str" cm="1">
        <f t="array" ref="AD82">_xlfn.IFS(
AB82=6,"Excellent",
AB82=5,"Strong",
AB82=4,"Good",
AB82=3,"Average",
AB82&lt;=2,"Weak"
)</f>
        <v>Average</v>
      </c>
    </row>
    <row r="83" spans="1:30" x14ac:dyDescent="0.3">
      <c r="A83" s="12" t="s">
        <v>321</v>
      </c>
      <c r="B83" s="10" t="s">
        <v>322</v>
      </c>
      <c r="C83" s="10" t="s">
        <v>158</v>
      </c>
      <c r="D83" s="36">
        <v>0.10001001</v>
      </c>
      <c r="E83" s="36">
        <f>_xlfn.XLOOKUP(C83,Industry_Benchmark!$A$2:$A$82,Industry_Benchmark!$B$2:$B$82,"")</f>
        <v>0.15536000333333333</v>
      </c>
      <c r="F83" s="36">
        <f>D83-E83</f>
        <v>-5.5349993333333333E-2</v>
      </c>
      <c r="G83" s="37">
        <f>IF(F83&gt;0,1,0)</f>
        <v>0</v>
      </c>
      <c r="H83" s="36">
        <v>5.0000000000000001E-3</v>
      </c>
      <c r="I83" s="36">
        <f>_xlfn.XLOOKUP(C83,Industry_Benchmark!$A$2:$A$82,Industry_Benchmark!$C$2:$C$82,"")</f>
        <v>0.21066666666666664</v>
      </c>
      <c r="J83" s="36">
        <f>H83-I83</f>
        <v>-0.20566666666666664</v>
      </c>
      <c r="K83" s="37">
        <f>IF(J83&gt;0,1,0)</f>
        <v>0</v>
      </c>
      <c r="L83" s="35">
        <v>0.83</v>
      </c>
      <c r="M83" s="35">
        <f>_xlfn.XLOOKUP(C83,Industry_Benchmark!$A$2:$A$82,Industry_Benchmark!$D$2:$D$82,"")</f>
        <v>1.6655</v>
      </c>
      <c r="N83" s="35">
        <f>L83-M83</f>
        <v>-0.83550000000000002</v>
      </c>
      <c r="O83" s="35">
        <f>IF(N83&gt;0,1,0)</f>
        <v>0</v>
      </c>
      <c r="P83" s="36">
        <v>8.5949999999999999E-2</v>
      </c>
      <c r="Q83" s="36">
        <f>_xlfn.XLOOKUP(C83,Industry_Benchmark!$A$2:$A$82,Industry_Benchmark!$E$2:$E$82,"")</f>
        <v>6.7101666833333337E-2</v>
      </c>
      <c r="R83" s="36">
        <f>P83-Q83</f>
        <v>1.8848333166666661E-2</v>
      </c>
      <c r="S83" s="37">
        <f>IF(R83&gt;0,1,0)</f>
        <v>1</v>
      </c>
      <c r="T83" s="35">
        <v>401.78</v>
      </c>
      <c r="U83" s="35">
        <f>_xlfn.XLOOKUP(C83,Industry_Benchmark!$A$2:$A$82,Industry_Benchmark!$F$2:$F$82,"")</f>
        <v>123.15566666666665</v>
      </c>
      <c r="V83" s="35">
        <f>T83-U83</f>
        <v>278.62433333333331</v>
      </c>
      <c r="W83" s="35">
        <f>IF(V83&gt;0,1,0)</f>
        <v>1</v>
      </c>
      <c r="X83" s="36">
        <v>0.57045999999999997</v>
      </c>
      <c r="Y83" s="36">
        <f>_xlfn.XLOOKUP(C83,Industry_Benchmark!$A$2:$A$82,Industry_Benchmark!$G$2:$G$82,"")</f>
        <v>0.26484833499999999</v>
      </c>
      <c r="Z83" s="59">
        <f>X83-Y83</f>
        <v>0.30561166499999998</v>
      </c>
      <c r="AA83" s="35">
        <f>IF(Z83&gt;0,1,0)</f>
        <v>1</v>
      </c>
      <c r="AB83" s="60">
        <f>SUM(G83,K83,O83,S83,W83,AA83)</f>
        <v>3</v>
      </c>
      <c r="AC83" s="61">
        <f>AB83/6</f>
        <v>0.5</v>
      </c>
      <c r="AD83" s="62" t="str" cm="1">
        <f t="array" ref="AD83">_xlfn.IFS(
AB83=6,"Excellent",
AB83=5,"Strong",
AB83=4,"Good",
AB83=3,"Average",
AB83&lt;=2,"Weak"
)</f>
        <v>Average</v>
      </c>
    </row>
    <row r="84" spans="1:30" x14ac:dyDescent="0.3">
      <c r="A84" s="12" t="s">
        <v>338</v>
      </c>
      <c r="B84" s="10" t="s">
        <v>339</v>
      </c>
      <c r="C84" s="10" t="s">
        <v>74</v>
      </c>
      <c r="D84" s="36">
        <v>0.12433</v>
      </c>
      <c r="E84" s="36">
        <f>_xlfn.XLOOKUP(C84,Industry_Benchmark!$A$2:$A$82,Industry_Benchmark!$B$2:$B$82,"")</f>
        <v>0.14528250400000001</v>
      </c>
      <c r="F84" s="36">
        <f>D84-E84</f>
        <v>-2.0952504000000011E-2</v>
      </c>
      <c r="G84" s="37">
        <f>IF(F84&gt;0,1,0)</f>
        <v>0</v>
      </c>
      <c r="H84" s="36">
        <v>1.7999999999999999E-2</v>
      </c>
      <c r="I84" s="36">
        <f>_xlfn.XLOOKUP(C84,Industry_Benchmark!$A$2:$A$82,Industry_Benchmark!$C$2:$C$82,"")</f>
        <v>8.475000000000002E-2</v>
      </c>
      <c r="J84" s="36">
        <f>H84-I84</f>
        <v>-6.6750000000000018E-2</v>
      </c>
      <c r="K84" s="37">
        <f>IF(J84&gt;0,1,0)</f>
        <v>0</v>
      </c>
      <c r="L84" s="35">
        <v>1.085</v>
      </c>
      <c r="M84" s="35">
        <f>_xlfn.XLOOKUP(C84,Industry_Benchmark!$A$2:$A$82,Industry_Benchmark!$D$2:$D$82,"")</f>
        <v>1.0912500000000001</v>
      </c>
      <c r="N84" s="35">
        <f>L84-M84</f>
        <v>-6.2500000000000888E-3</v>
      </c>
      <c r="O84" s="35">
        <f>IF(N84&gt;0,1,0)</f>
        <v>0</v>
      </c>
      <c r="P84" s="36">
        <v>0.15467</v>
      </c>
      <c r="Q84" s="36">
        <f>_xlfn.XLOOKUP(C84,Industry_Benchmark!$A$2:$A$82,Industry_Benchmark!$E$2:$E$82,"")</f>
        <v>0.113515</v>
      </c>
      <c r="R84" s="36">
        <f>P84-Q84</f>
        <v>4.1154999999999997E-2</v>
      </c>
      <c r="S84" s="37">
        <f>IF(R84&gt;0,1,0)</f>
        <v>1</v>
      </c>
      <c r="T84" s="35">
        <v>808.85699999999997</v>
      </c>
      <c r="U84" s="35">
        <f>_xlfn.XLOOKUP(C84,Industry_Benchmark!$A$2:$A$82,Industry_Benchmark!$F$2:$F$82,"")</f>
        <v>560.26625000000001</v>
      </c>
      <c r="V84" s="35">
        <f>T84-U84</f>
        <v>248.59074999999996</v>
      </c>
      <c r="W84" s="35">
        <f>IF(V84&gt;0,1,0)</f>
        <v>1</v>
      </c>
      <c r="X84" s="36">
        <v>2.2567599999999999</v>
      </c>
      <c r="Y84" s="36">
        <f>_xlfn.XLOOKUP(C84,Industry_Benchmark!$A$2:$A$82,Industry_Benchmark!$G$2:$G$82,"")</f>
        <v>1.3491249999999999</v>
      </c>
      <c r="Z84" s="59">
        <f>X84-Y84</f>
        <v>0.90763499999999997</v>
      </c>
      <c r="AA84" s="35">
        <f>IF(Z84&gt;0,1,0)</f>
        <v>1</v>
      </c>
      <c r="AB84" s="60">
        <f>SUM(G84,K84,O84,S84,W84,AA84)</f>
        <v>3</v>
      </c>
      <c r="AC84" s="61">
        <f>AB84/6</f>
        <v>0.5</v>
      </c>
      <c r="AD84" s="62" t="str" cm="1">
        <f t="array" ref="AD84">_xlfn.IFS(
AB84=6,"Excellent",
AB84=5,"Strong",
AB84=4,"Good",
AB84=3,"Average",
AB84&lt;=2,"Weak"
)</f>
        <v>Average</v>
      </c>
    </row>
    <row r="85" spans="1:30" x14ac:dyDescent="0.3">
      <c r="A85" s="12" t="s">
        <v>344</v>
      </c>
      <c r="B85" s="10" t="s">
        <v>345</v>
      </c>
      <c r="C85" s="10" t="s">
        <v>179</v>
      </c>
      <c r="D85" s="36">
        <v>0.35199000000000003</v>
      </c>
      <c r="E85" s="36">
        <f>_xlfn.XLOOKUP(C85,Industry_Benchmark!$A$2:$A$82,Industry_Benchmark!$B$2:$B$82,"")</f>
        <v>0.40717199600000004</v>
      </c>
      <c r="F85" s="36">
        <f>D85-E85</f>
        <v>-5.5181996000000011E-2</v>
      </c>
      <c r="G85" s="37">
        <f>IF(F85&gt;0,1,0)</f>
        <v>0</v>
      </c>
      <c r="H85" s="36">
        <v>0.125</v>
      </c>
      <c r="I85" s="36">
        <f>_xlfn.XLOOKUP(C85,Industry_Benchmark!$A$2:$A$82,Industry_Benchmark!$C$2:$C$82,"")</f>
        <v>0.15279999999999999</v>
      </c>
      <c r="J85" s="36">
        <f>H85-I85</f>
        <v>-2.7799999999999991E-2</v>
      </c>
      <c r="K85" s="37">
        <f>IF(J85&gt;0,1,0)</f>
        <v>0</v>
      </c>
      <c r="L85" s="35">
        <v>1.5229999999999999</v>
      </c>
      <c r="M85" s="35">
        <f>_xlfn.XLOOKUP(C85,Industry_Benchmark!$A$2:$A$82,Industry_Benchmark!$D$2:$D$82,"")</f>
        <v>1.5326</v>
      </c>
      <c r="N85" s="35">
        <f>L85-M85</f>
        <v>-9.6000000000000529E-3</v>
      </c>
      <c r="O85" s="35">
        <f>IF(N85&gt;0,1,0)</f>
        <v>0</v>
      </c>
      <c r="P85" s="36">
        <v>0.13633001</v>
      </c>
      <c r="Q85" s="36">
        <f>_xlfn.XLOOKUP(C85,Industry_Benchmark!$A$2:$A$82,Industry_Benchmark!$E$2:$E$82,"")</f>
        <v>0.10174799999999999</v>
      </c>
      <c r="R85" s="36">
        <f>P85-Q85</f>
        <v>3.458201000000001E-2</v>
      </c>
      <c r="S85" s="37">
        <f>IF(R85&gt;0,1,0)</f>
        <v>1</v>
      </c>
      <c r="T85" s="35">
        <v>307.86500000000001</v>
      </c>
      <c r="U85" s="35">
        <f>_xlfn.XLOOKUP(C85,Industry_Benchmark!$A$2:$A$82,Industry_Benchmark!$F$2:$F$82,"")</f>
        <v>95.873400000000004</v>
      </c>
      <c r="V85" s="35">
        <f>T85-U85</f>
        <v>211.99160000000001</v>
      </c>
      <c r="W85" s="35">
        <f>IF(V85&gt;0,1,0)</f>
        <v>1</v>
      </c>
      <c r="X85" s="36">
        <v>0.97448999999999997</v>
      </c>
      <c r="Y85" s="36">
        <f>_xlfn.XLOOKUP(C85,Industry_Benchmark!$A$2:$A$82,Industry_Benchmark!$G$2:$G$82,"")</f>
        <v>0.48719750249999999</v>
      </c>
      <c r="Z85" s="59">
        <f>X85-Y85</f>
        <v>0.48729249749999998</v>
      </c>
      <c r="AA85" s="35">
        <f>IF(Z85&gt;0,1,0)</f>
        <v>1</v>
      </c>
      <c r="AB85" s="60">
        <f>SUM(G85,K85,O85,S85,W85,AA85)</f>
        <v>3</v>
      </c>
      <c r="AC85" s="61">
        <f>AB85/6</f>
        <v>0.5</v>
      </c>
      <c r="AD85" s="62" t="str" cm="1">
        <f t="array" ref="AD85">_xlfn.IFS(
AB85=6,"Excellent",
AB85=5,"Strong",
AB85=4,"Good",
AB85=3,"Average",
AB85&lt;=2,"Weak"
)</f>
        <v>Average</v>
      </c>
    </row>
    <row r="86" spans="1:30" x14ac:dyDescent="0.3">
      <c r="A86" s="12" t="s">
        <v>349</v>
      </c>
      <c r="B86" s="10" t="s">
        <v>350</v>
      </c>
      <c r="C86" s="10" t="s">
        <v>348</v>
      </c>
      <c r="D86" s="36">
        <v>8.2040004E-2</v>
      </c>
      <c r="E86" s="36">
        <f>_xlfn.XLOOKUP(C86,Industry_Benchmark!$A$2:$A$82,Industry_Benchmark!$B$2:$B$82,"")</f>
        <v>3.8926667999999998E-2</v>
      </c>
      <c r="F86" s="36">
        <f>D86-E86</f>
        <v>4.3113336000000002E-2</v>
      </c>
      <c r="G86" s="37">
        <f>IF(F86&gt;0,1,0)</f>
        <v>1</v>
      </c>
      <c r="H86" s="36">
        <v>0.125</v>
      </c>
      <c r="I86" s="36">
        <f>_xlfn.XLOOKUP(C86,Industry_Benchmark!$A$2:$A$82,Industry_Benchmark!$C$2:$C$82,"")</f>
        <v>0.14366666666666666</v>
      </c>
      <c r="J86" s="36">
        <f>H86-I86</f>
        <v>-1.8666666666666665E-2</v>
      </c>
      <c r="K86" s="37">
        <f>IF(J86&gt;0,1,0)</f>
        <v>0</v>
      </c>
      <c r="L86" s="35">
        <v>1.222</v>
      </c>
      <c r="M86" s="35">
        <f>_xlfn.XLOOKUP(C86,Industry_Benchmark!$A$2:$A$82,Industry_Benchmark!$D$2:$D$82,"")</f>
        <v>1.7346666666666668</v>
      </c>
      <c r="N86" s="35">
        <f>L86-M86</f>
        <v>-0.51266666666666683</v>
      </c>
      <c r="O86" s="35">
        <f>IF(N86&gt;0,1,0)</f>
        <v>0</v>
      </c>
      <c r="P86" s="36">
        <v>4.1169999999999998E-2</v>
      </c>
      <c r="Q86" s="36">
        <f>_xlfn.XLOOKUP(C86,Industry_Benchmark!$A$2:$A$82,Industry_Benchmark!$E$2:$E$82,"")</f>
        <v>3.8259999999999995E-2</v>
      </c>
      <c r="R86" s="36">
        <f>P86-Q86</f>
        <v>2.9100000000000029E-3</v>
      </c>
      <c r="S86" s="37">
        <f>IF(R86&gt;0,1,0)</f>
        <v>1</v>
      </c>
      <c r="T86" s="35">
        <v>98.188000000000002</v>
      </c>
      <c r="U86" s="35">
        <f>_xlfn.XLOOKUP(C86,Industry_Benchmark!$A$2:$A$82,Industry_Benchmark!$F$2:$F$82,"")</f>
        <v>106.27766666666666</v>
      </c>
      <c r="V86" s="35">
        <f>T86-U86</f>
        <v>-8.089666666666659</v>
      </c>
      <c r="W86" s="35">
        <f>IF(V86&gt;0,1,0)</f>
        <v>0</v>
      </c>
      <c r="X86" s="36">
        <v>0.13883000000000001</v>
      </c>
      <c r="Y86" s="36">
        <f>_xlfn.XLOOKUP(C86,Industry_Benchmark!$A$2:$A$82,Industry_Benchmark!$G$2:$G$82,"")</f>
        <v>7.715000000000001E-2</v>
      </c>
      <c r="Z86" s="59">
        <f>X86-Y86</f>
        <v>6.1679999999999999E-2</v>
      </c>
      <c r="AA86" s="35">
        <f>IF(Z86&gt;0,1,0)</f>
        <v>1</v>
      </c>
      <c r="AB86" s="60">
        <f>SUM(G86,K86,O86,S86,W86,AA86)</f>
        <v>3</v>
      </c>
      <c r="AC86" s="61">
        <f>AB86/6</f>
        <v>0.5</v>
      </c>
      <c r="AD86" s="62" t="str" cm="1">
        <f t="array" ref="AD86">_xlfn.IFS(
AB86=6,"Excellent",
AB86=5,"Strong",
AB86=4,"Good",
AB86=3,"Average",
AB86&lt;=2,"Weak"
)</f>
        <v>Average</v>
      </c>
    </row>
    <row r="87" spans="1:30" x14ac:dyDescent="0.3">
      <c r="A87" s="12" t="s">
        <v>355</v>
      </c>
      <c r="B87" s="10" t="s">
        <v>356</v>
      </c>
      <c r="C87" s="10" t="s">
        <v>223</v>
      </c>
      <c r="D87" s="36">
        <v>0.12629000000000001</v>
      </c>
      <c r="E87" s="36">
        <f>_xlfn.XLOOKUP(C87,Industry_Benchmark!$A$2:$A$82,Industry_Benchmark!$B$2:$B$82,"")</f>
        <v>0.12041000057142859</v>
      </c>
      <c r="F87" s="36">
        <f>D87-E87</f>
        <v>5.8799994285714252E-3</v>
      </c>
      <c r="G87" s="37">
        <f>IF(F87&gt;0,1,0)</f>
        <v>1</v>
      </c>
      <c r="H87" s="36">
        <v>8.5000000000000006E-2</v>
      </c>
      <c r="I87" s="36">
        <f>_xlfn.XLOOKUP(C87,Industry_Benchmark!$A$2:$A$82,Industry_Benchmark!$C$2:$C$82,"")</f>
        <v>7.0857142857142855E-2</v>
      </c>
      <c r="J87" s="36">
        <f>H87-I87</f>
        <v>1.4142857142857151E-2</v>
      </c>
      <c r="K87" s="37">
        <f>IF(J87&gt;0,1,0)</f>
        <v>1</v>
      </c>
      <c r="L87" s="35">
        <v>1.35</v>
      </c>
      <c r="M87" s="35">
        <f>_xlfn.XLOOKUP(C87,Industry_Benchmark!$A$2:$A$82,Industry_Benchmark!$D$2:$D$82,"")</f>
        <v>1.4689999999999999</v>
      </c>
      <c r="N87" s="35">
        <f>L87-M87</f>
        <v>-0.11899999999999977</v>
      </c>
      <c r="O87" s="35">
        <f>IF(N87&gt;0,1,0)</f>
        <v>0</v>
      </c>
      <c r="P87" s="36">
        <v>8.1259999999999999E-2</v>
      </c>
      <c r="Q87" s="36">
        <f>_xlfn.XLOOKUP(C87,Industry_Benchmark!$A$2:$A$82,Industry_Benchmark!$E$2:$E$82,"")</f>
        <v>6.6908572285714271E-2</v>
      </c>
      <c r="R87" s="36">
        <f>P87-Q87</f>
        <v>1.4351427714285728E-2</v>
      </c>
      <c r="S87" s="37">
        <f>IF(R87&gt;0,1,0)</f>
        <v>1</v>
      </c>
      <c r="T87" s="35">
        <v>72.891000000000005</v>
      </c>
      <c r="U87" s="35">
        <f>_xlfn.XLOOKUP(C87,Industry_Benchmark!$A$2:$A$82,Industry_Benchmark!$F$2:$F$82,"")</f>
        <v>107.70214285714285</v>
      </c>
      <c r="V87" s="35">
        <f>T87-U87</f>
        <v>-34.811142857142841</v>
      </c>
      <c r="W87" s="35">
        <f>IF(V87&gt;0,1,0)</f>
        <v>0</v>
      </c>
      <c r="X87" s="36">
        <v>0.25335000000000002</v>
      </c>
      <c r="Y87" s="36">
        <f>_xlfn.XLOOKUP(C87,Industry_Benchmark!$A$2:$A$82,Industry_Benchmark!$G$2:$G$82,"")</f>
        <v>0.26455856971428571</v>
      </c>
      <c r="Z87" s="59">
        <f>X87-Y87</f>
        <v>-1.1208569714285688E-2</v>
      </c>
      <c r="AA87" s="35">
        <f>IF(Z87&gt;0,1,0)</f>
        <v>0</v>
      </c>
      <c r="AB87" s="60">
        <f>SUM(G87,K87,O87,S87,W87,AA87)</f>
        <v>3</v>
      </c>
      <c r="AC87" s="61">
        <f>AB87/6</f>
        <v>0.5</v>
      </c>
      <c r="AD87" s="62" t="str" cm="1">
        <f t="array" ref="AD87">_xlfn.IFS(
AB87=6,"Excellent",
AB87=5,"Strong",
AB87=4,"Good",
AB87=3,"Average",
AB87&lt;=2,"Weak"
)</f>
        <v>Average</v>
      </c>
    </row>
    <row r="88" spans="1:30" x14ac:dyDescent="0.3">
      <c r="A88" s="12" t="s">
        <v>363</v>
      </c>
      <c r="B88" s="10" t="s">
        <v>364</v>
      </c>
      <c r="C88" s="10" t="s">
        <v>62</v>
      </c>
      <c r="D88" s="36">
        <v>3.252E-2</v>
      </c>
      <c r="E88" s="36">
        <f>_xlfn.XLOOKUP(C88,Industry_Benchmark!$A$2:$A$82,Industry_Benchmark!$B$2:$B$82,"")</f>
        <v>3.6041667333333326E-2</v>
      </c>
      <c r="F88" s="36">
        <f>D88-E88</f>
        <v>-3.5216673333333254E-3</v>
      </c>
      <c r="G88" s="37">
        <f>IF(F88&gt;0,1,0)</f>
        <v>0</v>
      </c>
      <c r="H88" s="36">
        <v>8.6999999999999994E-2</v>
      </c>
      <c r="I88" s="36">
        <f>_xlfn.XLOOKUP(C88,Industry_Benchmark!$A$2:$A$82,Industry_Benchmark!$C$2:$C$82,"")</f>
        <v>0.11366666666666668</v>
      </c>
      <c r="J88" s="36">
        <f>H88-I88</f>
        <v>-2.6666666666666686E-2</v>
      </c>
      <c r="K88" s="37">
        <f>IF(J88&gt;0,1,0)</f>
        <v>0</v>
      </c>
      <c r="L88" s="35">
        <v>1.718</v>
      </c>
      <c r="M88" s="35">
        <f>_xlfn.XLOOKUP(C88,Industry_Benchmark!$A$2:$A$82,Industry_Benchmark!$D$2:$D$82,"")</f>
        <v>1.1100000000000001</v>
      </c>
      <c r="N88" s="35">
        <f>L88-M88</f>
        <v>0.60799999999999987</v>
      </c>
      <c r="O88" s="35">
        <f>IF(N88&gt;0,1,0)</f>
        <v>1</v>
      </c>
      <c r="P88" s="36">
        <v>5.7729996999999998E-2</v>
      </c>
      <c r="Q88" s="36">
        <f>_xlfn.XLOOKUP(C88,Industry_Benchmark!$A$2:$A$82,Industry_Benchmark!$E$2:$E$82,"")</f>
        <v>4.6496666166666666E-2</v>
      </c>
      <c r="R88" s="36">
        <f>P88-Q88</f>
        <v>1.1233330833333333E-2</v>
      </c>
      <c r="S88" s="37">
        <f>IF(R88&gt;0,1,0)</f>
        <v>1</v>
      </c>
      <c r="T88" s="35">
        <v>76.778000000000006</v>
      </c>
      <c r="U88" s="35">
        <f>_xlfn.XLOOKUP(C88,Industry_Benchmark!$A$2:$A$82,Industry_Benchmark!$F$2:$F$82,"")</f>
        <v>78.132333333333335</v>
      </c>
      <c r="V88" s="35">
        <f>T88-U88</f>
        <v>-1.3543333333333294</v>
      </c>
      <c r="W88" s="35">
        <f>IF(V88&gt;0,1,0)</f>
        <v>0</v>
      </c>
      <c r="X88" s="36">
        <v>0.1668</v>
      </c>
      <c r="Y88" s="36">
        <f>_xlfn.XLOOKUP(C88,Industry_Benchmark!$A$2:$A$82,Industry_Benchmark!$G$2:$G$82,"")</f>
        <v>0.14621000233333331</v>
      </c>
      <c r="Z88" s="59">
        <f>X88-Y88</f>
        <v>2.0589997666666693E-2</v>
      </c>
      <c r="AA88" s="35">
        <f>IF(Z88&gt;0,1,0)</f>
        <v>1</v>
      </c>
      <c r="AB88" s="60">
        <f>SUM(G88,K88,O88,S88,W88,AA88)</f>
        <v>3</v>
      </c>
      <c r="AC88" s="61">
        <f>AB88/6</f>
        <v>0.5</v>
      </c>
      <c r="AD88" s="62" t="str" cm="1">
        <f t="array" ref="AD88">_xlfn.IFS(
AB88=6,"Excellent",
AB88=5,"Strong",
AB88=4,"Good",
AB88=3,"Average",
AB88&lt;=2,"Weak"
)</f>
        <v>Average</v>
      </c>
    </row>
    <row r="89" spans="1:30" x14ac:dyDescent="0.3">
      <c r="A89" s="12" t="s">
        <v>371</v>
      </c>
      <c r="B89" s="10" t="s">
        <v>372</v>
      </c>
      <c r="C89" s="10" t="s">
        <v>108</v>
      </c>
      <c r="D89" s="36">
        <v>0.21192</v>
      </c>
      <c r="E89" s="36">
        <f>_xlfn.XLOOKUP(C89,Industry_Benchmark!$A$2:$A$82,Industry_Benchmark!$B$2:$B$82,"")</f>
        <v>0.18452167</v>
      </c>
      <c r="F89" s="36">
        <f>D89-E89</f>
        <v>2.7398329999999999E-2</v>
      </c>
      <c r="G89" s="37">
        <f>IF(F89&gt;0,1,0)</f>
        <v>1</v>
      </c>
      <c r="H89" s="36">
        <v>0.39500000000000002</v>
      </c>
      <c r="I89" s="36">
        <f>_xlfn.XLOOKUP(C89,Industry_Benchmark!$A$2:$A$82,Industry_Benchmark!$C$2:$C$82,"")</f>
        <v>0.17683333333333331</v>
      </c>
      <c r="J89" s="36">
        <f>H89-I89</f>
        <v>0.2181666666666667</v>
      </c>
      <c r="K89" s="37">
        <f>IF(J89&gt;0,1,0)</f>
        <v>1</v>
      </c>
      <c r="L89" s="35">
        <v>2.6819999999999999</v>
      </c>
      <c r="M89" s="35">
        <f>_xlfn.XLOOKUP(C89,Industry_Benchmark!$A$2:$A$82,Industry_Benchmark!$D$2:$D$82,"")</f>
        <v>1.6713333333333333</v>
      </c>
      <c r="N89" s="35">
        <f>L89-M89</f>
        <v>1.0106666666666666</v>
      </c>
      <c r="O89" s="35">
        <f>IF(N89&gt;0,1,0)</f>
        <v>1</v>
      </c>
      <c r="P89" s="36">
        <v>3.9280000000000002E-2</v>
      </c>
      <c r="Q89" s="36">
        <f>_xlfn.XLOOKUP(C89,Industry_Benchmark!$A$2:$A$82,Industry_Benchmark!$E$2:$E$82,"")</f>
        <v>9.1146667000000001E-2</v>
      </c>
      <c r="R89" s="36">
        <f>P89-Q89</f>
        <v>-5.1866666999999998E-2</v>
      </c>
      <c r="S89" s="37">
        <f>IF(R89&gt;0,1,0)</f>
        <v>0</v>
      </c>
      <c r="T89" s="35">
        <v>23.95</v>
      </c>
      <c r="U89" s="35">
        <f>_xlfn.XLOOKUP(C89,Industry_Benchmark!$A$2:$A$82,Industry_Benchmark!$F$2:$F$82,"")</f>
        <v>96.502166666666668</v>
      </c>
      <c r="V89" s="35">
        <f>T89-U89</f>
        <v>-72.552166666666665</v>
      </c>
      <c r="W89" s="35">
        <f>IF(V89&gt;0,1,0)</f>
        <v>0</v>
      </c>
      <c r="X89" s="36">
        <v>0.11862001</v>
      </c>
      <c r="Y89" s="36">
        <f>_xlfn.XLOOKUP(C89,Industry_Benchmark!$A$2:$A$82,Industry_Benchmark!$G$2:$G$82,"")</f>
        <v>0.32766498833333335</v>
      </c>
      <c r="Z89" s="59">
        <f>X89-Y89</f>
        <v>-0.20904497833333335</v>
      </c>
      <c r="AA89" s="35">
        <f>IF(Z89&gt;0,1,0)</f>
        <v>0</v>
      </c>
      <c r="AB89" s="60">
        <f>SUM(G89,K89,O89,S89,W89,AA89)</f>
        <v>3</v>
      </c>
      <c r="AC89" s="61">
        <f>AB89/6</f>
        <v>0.5</v>
      </c>
      <c r="AD89" s="62" t="str" cm="1">
        <f t="array" ref="AD89">_xlfn.IFS(
AB89=6,"Excellent",
AB89=5,"Strong",
AB89=4,"Good",
AB89=3,"Average",
AB89&lt;=2,"Weak"
)</f>
        <v>Average</v>
      </c>
    </row>
    <row r="90" spans="1:30" x14ac:dyDescent="0.3">
      <c r="A90" s="12" t="s">
        <v>373</v>
      </c>
      <c r="B90" s="10" t="s">
        <v>374</v>
      </c>
      <c r="C90" s="10" t="s">
        <v>158</v>
      </c>
      <c r="D90" s="36">
        <v>0.20333999999999999</v>
      </c>
      <c r="E90" s="36">
        <f>_xlfn.XLOOKUP(C90,Industry_Benchmark!$A$2:$A$82,Industry_Benchmark!$B$2:$B$82,"")</f>
        <v>0.15536000333333333</v>
      </c>
      <c r="F90" s="36">
        <f>D90-E90</f>
        <v>4.7979996666666663E-2</v>
      </c>
      <c r="G90" s="37">
        <f>IF(F90&gt;0,1,0)</f>
        <v>1</v>
      </c>
      <c r="H90" s="36">
        <v>0.22500000000000001</v>
      </c>
      <c r="I90" s="36">
        <f>_xlfn.XLOOKUP(C90,Industry_Benchmark!$A$2:$A$82,Industry_Benchmark!$C$2:$C$82,"")</f>
        <v>0.21066666666666664</v>
      </c>
      <c r="J90" s="36">
        <f>H90-I90</f>
        <v>1.4333333333333365E-2</v>
      </c>
      <c r="K90" s="37">
        <f>IF(J90&gt;0,1,0)</f>
        <v>1</v>
      </c>
      <c r="L90" s="35">
        <v>2.992</v>
      </c>
      <c r="M90" s="35">
        <f>_xlfn.XLOOKUP(C90,Industry_Benchmark!$A$2:$A$82,Industry_Benchmark!$D$2:$D$82,"")</f>
        <v>1.6655</v>
      </c>
      <c r="N90" s="35">
        <f>L90-M90</f>
        <v>1.3265</v>
      </c>
      <c r="O90" s="35">
        <f>IF(N90&gt;0,1,0)</f>
        <v>1</v>
      </c>
      <c r="P90" s="36">
        <v>5.6570000000000002E-2</v>
      </c>
      <c r="Q90" s="36">
        <f>_xlfn.XLOOKUP(C90,Industry_Benchmark!$A$2:$A$82,Industry_Benchmark!$E$2:$E$82,"")</f>
        <v>6.7101666833333337E-2</v>
      </c>
      <c r="R90" s="36">
        <f>P90-Q90</f>
        <v>-1.0531666833333335E-2</v>
      </c>
      <c r="S90" s="37">
        <f>IF(R90&gt;0,1,0)</f>
        <v>0</v>
      </c>
      <c r="T90" s="35">
        <v>58.573999999999998</v>
      </c>
      <c r="U90" s="35">
        <f>_xlfn.XLOOKUP(C90,Industry_Benchmark!$A$2:$A$82,Industry_Benchmark!$F$2:$F$82,"")</f>
        <v>123.15566666666665</v>
      </c>
      <c r="V90" s="35">
        <f>T90-U90</f>
        <v>-64.581666666666649</v>
      </c>
      <c r="W90" s="35">
        <f>IF(V90&gt;0,1,0)</f>
        <v>0</v>
      </c>
      <c r="X90" s="36">
        <v>0.15412999999999999</v>
      </c>
      <c r="Y90" s="36">
        <f>_xlfn.XLOOKUP(C90,Industry_Benchmark!$A$2:$A$82,Industry_Benchmark!$G$2:$G$82,"")</f>
        <v>0.26484833499999999</v>
      </c>
      <c r="Z90" s="59">
        <f>X90-Y90</f>
        <v>-0.110718335</v>
      </c>
      <c r="AA90" s="35">
        <f>IF(Z90&gt;0,1,0)</f>
        <v>0</v>
      </c>
      <c r="AB90" s="60">
        <f>SUM(G90,K90,O90,S90,W90,AA90)</f>
        <v>3</v>
      </c>
      <c r="AC90" s="61">
        <f>AB90/6</f>
        <v>0.5</v>
      </c>
      <c r="AD90" s="62" t="str" cm="1">
        <f t="array" ref="AD90">_xlfn.IFS(
AB90=6,"Excellent",
AB90=5,"Strong",
AB90=4,"Good",
AB90=3,"Average",
AB90&lt;=2,"Weak"
)</f>
        <v>Average</v>
      </c>
    </row>
    <row r="91" spans="1:30" x14ac:dyDescent="0.3">
      <c r="A91" s="12" t="s">
        <v>411</v>
      </c>
      <c r="B91" s="10" t="s">
        <v>412</v>
      </c>
      <c r="C91" s="10" t="s">
        <v>119</v>
      </c>
      <c r="D91" s="36">
        <v>0.31304999999999999</v>
      </c>
      <c r="E91" s="36">
        <f>_xlfn.XLOOKUP(C91,Industry_Benchmark!$A$2:$A$82,Industry_Benchmark!$B$2:$B$82,"")</f>
        <v>0.17165200400000002</v>
      </c>
      <c r="F91" s="36">
        <f>D91-E91</f>
        <v>0.14139799599999997</v>
      </c>
      <c r="G91" s="37">
        <f>IF(F91&gt;0,1,0)</f>
        <v>1</v>
      </c>
      <c r="H91" s="36">
        <v>0.182</v>
      </c>
      <c r="I91" s="36">
        <f>_xlfn.XLOOKUP(C91,Industry_Benchmark!$A$2:$A$82,Industry_Benchmark!$C$2:$C$82,"")</f>
        <v>0.28060000000000002</v>
      </c>
      <c r="J91" s="36">
        <f>H91-I91</f>
        <v>-9.8600000000000021E-2</v>
      </c>
      <c r="K91" s="37">
        <f>IF(J91&gt;0,1,0)</f>
        <v>0</v>
      </c>
      <c r="L91" s="35">
        <v>0.80900000000000005</v>
      </c>
      <c r="M91" s="35">
        <f>_xlfn.XLOOKUP(C91,Industry_Benchmark!$A$2:$A$82,Industry_Benchmark!$D$2:$D$82,"")</f>
        <v>1.3602000000000001</v>
      </c>
      <c r="N91" s="35">
        <f>L91-M91</f>
        <v>-0.55120000000000002</v>
      </c>
      <c r="O91" s="35">
        <f>IF(N91&gt;0,1,0)</f>
        <v>0</v>
      </c>
      <c r="P91" s="36">
        <v>5.9569999999999998E-2</v>
      </c>
      <c r="Q91" s="36">
        <f>_xlfn.XLOOKUP(C91,Industry_Benchmark!$A$2:$A$82,Industry_Benchmark!$E$2:$E$82,"")</f>
        <v>6.5944000000000003E-2</v>
      </c>
      <c r="R91" s="36">
        <f>P91-Q91</f>
        <v>-6.3740000000000047E-3</v>
      </c>
      <c r="S91" s="37">
        <f>IF(R91&gt;0,1,0)</f>
        <v>0</v>
      </c>
      <c r="T91" s="35">
        <v>238.261</v>
      </c>
      <c r="U91" s="35">
        <f>_xlfn.XLOOKUP(C91,Industry_Benchmark!$A$2:$A$82,Industry_Benchmark!$F$2:$F$82,"")</f>
        <v>73.073599999999999</v>
      </c>
      <c r="V91" s="35">
        <f>T91-U91</f>
        <v>165.1874</v>
      </c>
      <c r="W91" s="35">
        <f>IF(V91&gt;0,1,0)</f>
        <v>1</v>
      </c>
      <c r="X91" s="36">
        <v>1.9555298999999999</v>
      </c>
      <c r="Y91" s="36">
        <f>_xlfn.XLOOKUP(C91,Industry_Benchmark!$A$2:$A$82,Industry_Benchmark!$G$2:$G$82,"")</f>
        <v>0.52347798119999989</v>
      </c>
      <c r="Z91" s="59">
        <f>X91-Y91</f>
        <v>1.4320519188</v>
      </c>
      <c r="AA91" s="35">
        <f>IF(Z91&gt;0,1,0)</f>
        <v>1</v>
      </c>
      <c r="AB91" s="60">
        <f>SUM(G91,K91,O91,S91,W91,AA91)</f>
        <v>3</v>
      </c>
      <c r="AC91" s="61">
        <f>AB91/6</f>
        <v>0.5</v>
      </c>
      <c r="AD91" s="62" t="str" cm="1">
        <f t="array" ref="AD91">_xlfn.IFS(
AB91=6,"Excellent",
AB91=5,"Strong",
AB91=4,"Good",
AB91=3,"Average",
AB91&lt;=2,"Weak"
)</f>
        <v>Average</v>
      </c>
    </row>
    <row r="92" spans="1:30" x14ac:dyDescent="0.3">
      <c r="A92" s="12" t="s">
        <v>426</v>
      </c>
      <c r="B92" s="10" t="s">
        <v>427</v>
      </c>
      <c r="C92" s="10" t="s">
        <v>425</v>
      </c>
      <c r="D92" s="36">
        <v>8.0850000000000005E-2</v>
      </c>
      <c r="E92" s="36">
        <f>_xlfn.XLOOKUP(C92,Industry_Benchmark!$A$2:$A$82,Industry_Benchmark!$B$2:$B$82,"")</f>
        <v>3.3746666666666668E-2</v>
      </c>
      <c r="F92" s="36">
        <f>D92-E92</f>
        <v>4.7103333333333337E-2</v>
      </c>
      <c r="G92" s="37">
        <f>IF(F92&gt;0,1,0)</f>
        <v>1</v>
      </c>
      <c r="H92" s="36">
        <v>0.96699999999999997</v>
      </c>
      <c r="I92" s="36">
        <f>_xlfn.XLOOKUP(C92,Industry_Benchmark!$A$2:$A$82,Industry_Benchmark!$C$2:$C$82,"")</f>
        <v>1.0683333333333334</v>
      </c>
      <c r="J92" s="36">
        <f>H92-I92</f>
        <v>-0.10133333333333339</v>
      </c>
      <c r="K92" s="37">
        <f>IF(J92&gt;0,1,0)</f>
        <v>0</v>
      </c>
      <c r="L92" s="35"/>
      <c r="M92" s="35">
        <f>_xlfn.XLOOKUP(C92,Industry_Benchmark!$A$2:$A$82,Industry_Benchmark!$D$2:$D$82,"")</f>
        <v>1.202</v>
      </c>
      <c r="N92" s="35">
        <f>L92-M92</f>
        <v>-1.202</v>
      </c>
      <c r="O92" s="35">
        <f>IF(N92&gt;0,1,0)</f>
        <v>0</v>
      </c>
      <c r="P92" s="36"/>
      <c r="Q92" s="36">
        <f>_xlfn.XLOOKUP(C92,Industry_Benchmark!$A$2:$A$82,Industry_Benchmark!$E$2:$E$82,"")</f>
        <v>1.6324999999999999E-2</v>
      </c>
      <c r="R92" s="36">
        <f>P92-Q92</f>
        <v>-1.6324999999999999E-2</v>
      </c>
      <c r="S92" s="37">
        <f>IF(R92&gt;0,1,0)</f>
        <v>0</v>
      </c>
      <c r="T92" s="35">
        <v>79.974000000000004</v>
      </c>
      <c r="U92" s="35">
        <f>_xlfn.XLOOKUP(C92,Industry_Benchmark!$A$2:$A$82,Industry_Benchmark!$F$2:$F$82,"")</f>
        <v>76.00233333333334</v>
      </c>
      <c r="V92" s="35">
        <f>T92-U92</f>
        <v>3.971666666666664</v>
      </c>
      <c r="W92" s="35">
        <f>IF(V92&gt;0,1,0)</f>
        <v>1</v>
      </c>
      <c r="X92" s="36">
        <v>7.7149999999999996E-2</v>
      </c>
      <c r="Y92" s="36">
        <f>_xlfn.XLOOKUP(C92,Industry_Benchmark!$A$2:$A$82,Industry_Benchmark!$G$2:$G$82,"")</f>
        <v>7.2096668333333336E-2</v>
      </c>
      <c r="Z92" s="59">
        <f>X92-Y92</f>
        <v>5.0533316666666606E-3</v>
      </c>
      <c r="AA92" s="35">
        <f>IF(Z92&gt;0,1,0)</f>
        <v>1</v>
      </c>
      <c r="AB92" s="60">
        <f>SUM(G92,K92,O92,S92,W92,AA92)</f>
        <v>3</v>
      </c>
      <c r="AC92" s="61">
        <f>AB92/6</f>
        <v>0.5</v>
      </c>
      <c r="AD92" s="62" t="str" cm="1">
        <f t="array" ref="AD92">_xlfn.IFS(
AB92=6,"Excellent",
AB92=5,"Strong",
AB92=4,"Good",
AB92=3,"Average",
AB92&lt;=2,"Weak"
)</f>
        <v>Average</v>
      </c>
    </row>
    <row r="93" spans="1:30" x14ac:dyDescent="0.3">
      <c r="A93" s="12" t="s">
        <v>431</v>
      </c>
      <c r="B93" s="10" t="s">
        <v>432</v>
      </c>
      <c r="C93" s="10" t="s">
        <v>119</v>
      </c>
      <c r="D93" s="36">
        <v>0.23297001000000001</v>
      </c>
      <c r="E93" s="36">
        <f>_xlfn.XLOOKUP(C93,Industry_Benchmark!$A$2:$A$82,Industry_Benchmark!$B$2:$B$82,"")</f>
        <v>0.17165200400000002</v>
      </c>
      <c r="F93" s="36">
        <f>D93-E93</f>
        <v>6.131800599999998E-2</v>
      </c>
      <c r="G93" s="37">
        <f>IF(F93&gt;0,1,0)</f>
        <v>1</v>
      </c>
      <c r="H93" s="36">
        <v>0.126</v>
      </c>
      <c r="I93" s="36">
        <f>_xlfn.XLOOKUP(C93,Industry_Benchmark!$A$2:$A$82,Industry_Benchmark!$C$2:$C$82,"")</f>
        <v>0.28060000000000002</v>
      </c>
      <c r="J93" s="36">
        <f>H93-I93</f>
        <v>-0.15460000000000002</v>
      </c>
      <c r="K93" s="37">
        <f>IF(J93&gt;0,1,0)</f>
        <v>0</v>
      </c>
      <c r="L93" s="35">
        <v>1.7010000000000001</v>
      </c>
      <c r="M93" s="35">
        <f>_xlfn.XLOOKUP(C93,Industry_Benchmark!$A$2:$A$82,Industry_Benchmark!$D$2:$D$82,"")</f>
        <v>1.3602000000000001</v>
      </c>
      <c r="N93" s="35">
        <f>L93-M93</f>
        <v>0.34079999999999999</v>
      </c>
      <c r="O93" s="35">
        <f>IF(N93&gt;0,1,0)</f>
        <v>1</v>
      </c>
      <c r="P93" s="36">
        <v>0.1164</v>
      </c>
      <c r="Q93" s="36">
        <f>_xlfn.XLOOKUP(C93,Industry_Benchmark!$A$2:$A$82,Industry_Benchmark!$E$2:$E$82,"")</f>
        <v>6.5944000000000003E-2</v>
      </c>
      <c r="R93" s="36">
        <f>P93-Q93</f>
        <v>5.0456000000000001E-2</v>
      </c>
      <c r="S93" s="37">
        <f>IF(R93&gt;0,1,0)</f>
        <v>1</v>
      </c>
      <c r="T93" s="35">
        <v>13.202</v>
      </c>
      <c r="U93" s="35">
        <f>_xlfn.XLOOKUP(C93,Industry_Benchmark!$A$2:$A$82,Industry_Benchmark!$F$2:$F$82,"")</f>
        <v>73.073599999999999</v>
      </c>
      <c r="V93" s="35">
        <f>T93-U93</f>
        <v>-59.871600000000001</v>
      </c>
      <c r="W93" s="35">
        <f>IF(V93&gt;0,1,0)</f>
        <v>0</v>
      </c>
      <c r="X93" s="36">
        <v>0.27576000000000001</v>
      </c>
      <c r="Y93" s="36">
        <f>_xlfn.XLOOKUP(C93,Industry_Benchmark!$A$2:$A$82,Industry_Benchmark!$G$2:$G$82,"")</f>
        <v>0.52347798119999989</v>
      </c>
      <c r="Z93" s="59">
        <f>X93-Y93</f>
        <v>-0.24771798119999988</v>
      </c>
      <c r="AA93" s="35">
        <f>IF(Z93&gt;0,1,0)</f>
        <v>0</v>
      </c>
      <c r="AB93" s="60">
        <f>SUM(G93,K93,O93,S93,W93,AA93)</f>
        <v>3</v>
      </c>
      <c r="AC93" s="61">
        <f>AB93/6</f>
        <v>0.5</v>
      </c>
      <c r="AD93" s="62" t="str" cm="1">
        <f t="array" ref="AD93">_xlfn.IFS(
AB93=6,"Excellent",
AB93=5,"Strong",
AB93=4,"Good",
AB93=3,"Average",
AB93&lt;=2,"Weak"
)</f>
        <v>Average</v>
      </c>
    </row>
    <row r="94" spans="1:30" x14ac:dyDescent="0.3">
      <c r="A94" s="12" t="s">
        <v>439</v>
      </c>
      <c r="B94" s="10" t="s">
        <v>440</v>
      </c>
      <c r="C94" s="10" t="s">
        <v>141</v>
      </c>
      <c r="D94" s="36">
        <v>8.652E-2</v>
      </c>
      <c r="E94" s="36">
        <f>_xlfn.XLOOKUP(C94,Industry_Benchmark!$A$2:$A$82,Industry_Benchmark!$B$2:$B$82,"")</f>
        <v>0.19883250750000001</v>
      </c>
      <c r="F94" s="36">
        <f>D94-E94</f>
        <v>-0.11231250750000001</v>
      </c>
      <c r="G94" s="37">
        <f>IF(F94&gt;0,1,0)</f>
        <v>0</v>
      </c>
      <c r="H94" s="36">
        <v>0.22</v>
      </c>
      <c r="I94" s="36">
        <f>_xlfn.XLOOKUP(C94,Industry_Benchmark!$A$2:$A$82,Industry_Benchmark!$C$2:$C$82,"")</f>
        <v>0.157</v>
      </c>
      <c r="J94" s="36">
        <f>H94-I94</f>
        <v>6.3E-2</v>
      </c>
      <c r="K94" s="37">
        <f>IF(J94&gt;0,1,0)</f>
        <v>1</v>
      </c>
      <c r="L94" s="35">
        <v>1.581</v>
      </c>
      <c r="M94" s="35">
        <f>_xlfn.XLOOKUP(C94,Industry_Benchmark!$A$2:$A$82,Industry_Benchmark!$D$2:$D$82,"")</f>
        <v>1.3137500000000002</v>
      </c>
      <c r="N94" s="35">
        <f>L94-M94</f>
        <v>0.26724999999999977</v>
      </c>
      <c r="O94" s="35">
        <f>IF(N94&gt;0,1,0)</f>
        <v>1</v>
      </c>
      <c r="P94" s="36">
        <v>8.2070000000000004E-2</v>
      </c>
      <c r="Q94" s="36">
        <f>_xlfn.XLOOKUP(C94,Industry_Benchmark!$A$2:$A$82,Industry_Benchmark!$E$2:$E$82,"")</f>
        <v>0.13219250124999998</v>
      </c>
      <c r="R94" s="36">
        <f>P94-Q94</f>
        <v>-5.0122501249999979E-2</v>
      </c>
      <c r="S94" s="37">
        <f>IF(R94&gt;0,1,0)</f>
        <v>0</v>
      </c>
      <c r="T94" s="35">
        <v>153.232</v>
      </c>
      <c r="U94" s="35">
        <f>_xlfn.XLOOKUP(C94,Industry_Benchmark!$A$2:$A$82,Industry_Benchmark!$F$2:$F$82,"")</f>
        <v>38.308</v>
      </c>
      <c r="V94" s="35">
        <f>T94-U94</f>
        <v>114.92400000000001</v>
      </c>
      <c r="W94" s="35">
        <f>IF(V94&gt;0,1,0)</f>
        <v>1</v>
      </c>
      <c r="X94" s="36">
        <v>0.30247997999999998</v>
      </c>
      <c r="Y94" s="36">
        <f>_xlfn.XLOOKUP(C94,Industry_Benchmark!$A$2:$A$82,Industry_Benchmark!$G$2:$G$82,"")</f>
        <v>0.30247997999999998</v>
      </c>
      <c r="Z94" s="59">
        <f>X94-Y94</f>
        <v>0</v>
      </c>
      <c r="AA94" s="35">
        <f>IF(Z94&gt;0,1,0)</f>
        <v>0</v>
      </c>
      <c r="AB94" s="60">
        <f>SUM(G94,K94,O94,S94,W94,AA94)</f>
        <v>3</v>
      </c>
      <c r="AC94" s="61">
        <f>AB94/6</f>
        <v>0.5</v>
      </c>
      <c r="AD94" s="62" t="str" cm="1">
        <f t="array" ref="AD94">_xlfn.IFS(
AB94=6,"Excellent",
AB94=5,"Strong",
AB94=4,"Good",
AB94=3,"Average",
AB94&lt;=2,"Weak"
)</f>
        <v>Average</v>
      </c>
    </row>
    <row r="95" spans="1:30" x14ac:dyDescent="0.3">
      <c r="A95" s="12" t="s">
        <v>469</v>
      </c>
      <c r="B95" s="10" t="s">
        <v>470</v>
      </c>
      <c r="C95" s="10" t="s">
        <v>357</v>
      </c>
      <c r="D95" s="36">
        <v>0.18766000999999999</v>
      </c>
      <c r="E95" s="36">
        <f>_xlfn.XLOOKUP(C95,Industry_Benchmark!$A$2:$A$82,Industry_Benchmark!$B$2:$B$82,"")</f>
        <v>0.13010667000000001</v>
      </c>
      <c r="F95" s="36">
        <f>D95-E95</f>
        <v>5.7553339999999981E-2</v>
      </c>
      <c r="G95" s="37">
        <f>IF(F95&gt;0,1,0)</f>
        <v>1</v>
      </c>
      <c r="H95" s="36">
        <v>-7.5999999999999998E-2</v>
      </c>
      <c r="I95" s="36">
        <f>_xlfn.XLOOKUP(C95,Industry_Benchmark!$A$2:$A$82,Industry_Benchmark!$C$2:$C$82,"")</f>
        <v>-4.3333333333333335E-2</v>
      </c>
      <c r="J95" s="36">
        <f>H95-I95</f>
        <v>-3.2666666666666663E-2</v>
      </c>
      <c r="K95" s="37">
        <f>IF(J95&gt;0,1,0)</f>
        <v>0</v>
      </c>
      <c r="L95" s="35">
        <v>0.68400000000000005</v>
      </c>
      <c r="M95" s="35">
        <f>_xlfn.XLOOKUP(C95,Industry_Benchmark!$A$2:$A$82,Industry_Benchmark!$D$2:$D$82,"")</f>
        <v>0.97266666666666668</v>
      </c>
      <c r="N95" s="35">
        <f>L95-M95</f>
        <v>-0.28866666666666663</v>
      </c>
      <c r="O95" s="35">
        <f>IF(N95&gt;0,1,0)</f>
        <v>0</v>
      </c>
      <c r="P95" s="36">
        <v>2.1569999999999999E-2</v>
      </c>
      <c r="Q95" s="36">
        <f>_xlfn.XLOOKUP(C95,Industry_Benchmark!$A$2:$A$82,Industry_Benchmark!$E$2:$E$82,"")</f>
        <v>1.1779999999999999E-2</v>
      </c>
      <c r="R95" s="36">
        <f>P95-Q95</f>
        <v>9.7900000000000001E-3</v>
      </c>
      <c r="S95" s="37">
        <f>IF(R95&gt;0,1,0)</f>
        <v>1</v>
      </c>
      <c r="T95" s="35">
        <v>32.579000000000001</v>
      </c>
      <c r="U95" s="35">
        <f>_xlfn.XLOOKUP(C95,Industry_Benchmark!$A$2:$A$82,Industry_Benchmark!$F$2:$F$82,"")</f>
        <v>81.62866666666666</v>
      </c>
      <c r="V95" s="35">
        <f>T95-U95</f>
        <v>-49.04966666666666</v>
      </c>
      <c r="W95" s="35">
        <f>IF(V95&gt;0,1,0)</f>
        <v>0</v>
      </c>
      <c r="X95" s="36">
        <v>0.12836</v>
      </c>
      <c r="Y95" s="36">
        <f>_xlfn.XLOOKUP(C95,Industry_Benchmark!$A$2:$A$82,Industry_Benchmark!$G$2:$G$82,"")</f>
        <v>0.10791000133333332</v>
      </c>
      <c r="Z95" s="59">
        <f>X95-Y95</f>
        <v>2.0449998666666677E-2</v>
      </c>
      <c r="AA95" s="35">
        <f>IF(Z95&gt;0,1,0)</f>
        <v>1</v>
      </c>
      <c r="AB95" s="60">
        <f>SUM(G95,K95,O95,S95,W95,AA95)</f>
        <v>3</v>
      </c>
      <c r="AC95" s="61">
        <f>AB95/6</f>
        <v>0.5</v>
      </c>
      <c r="AD95" s="62" t="str" cm="1">
        <f t="array" ref="AD95">_xlfn.IFS(
AB95=6,"Excellent",
AB95=5,"Strong",
AB95=4,"Good",
AB95=3,"Average",
AB95&lt;=2,"Weak"
)</f>
        <v>Average</v>
      </c>
    </row>
    <row r="96" spans="1:30" x14ac:dyDescent="0.3">
      <c r="A96" s="12" t="s">
        <v>477</v>
      </c>
      <c r="B96" s="10" t="s">
        <v>478</v>
      </c>
      <c r="C96" s="10" t="s">
        <v>93</v>
      </c>
      <c r="D96" s="36">
        <v>0.28760000000000002</v>
      </c>
      <c r="E96" s="36">
        <f>_xlfn.XLOOKUP(C96,Industry_Benchmark!$A$2:$A$82,Industry_Benchmark!$B$2:$B$82,"")</f>
        <v>0.20896999666666669</v>
      </c>
      <c r="F96" s="36">
        <f>D96-E96</f>
        <v>7.8630003333333337E-2</v>
      </c>
      <c r="G96" s="37">
        <f>IF(F96&gt;0,1,0)</f>
        <v>1</v>
      </c>
      <c r="H96" s="36">
        <v>0.13200000000000001</v>
      </c>
      <c r="I96" s="36">
        <f>_xlfn.XLOOKUP(C96,Industry_Benchmark!$A$2:$A$82,Industry_Benchmark!$C$2:$C$82,"")</f>
        <v>0.13633333333333333</v>
      </c>
      <c r="J96" s="36">
        <f>H96-I96</f>
        <v>-4.3333333333333279E-3</v>
      </c>
      <c r="K96" s="37">
        <f>IF(J96&gt;0,1,0)</f>
        <v>0</v>
      </c>
      <c r="L96" s="35">
        <v>4.702</v>
      </c>
      <c r="M96" s="35">
        <f>_xlfn.XLOOKUP(C96,Industry_Benchmark!$A$2:$A$82,Industry_Benchmark!$D$2:$D$82,"")</f>
        <v>2.3876666666666666</v>
      </c>
      <c r="N96" s="35">
        <f>L96-M96</f>
        <v>2.3143333333333334</v>
      </c>
      <c r="O96" s="35">
        <f>IF(N96&gt;0,1,0)</f>
        <v>1</v>
      </c>
      <c r="P96" s="36">
        <v>0.16991000000000001</v>
      </c>
      <c r="Q96" s="36">
        <f>_xlfn.XLOOKUP(C96,Industry_Benchmark!$A$2:$A$82,Industry_Benchmark!$E$2:$E$82,"")</f>
        <v>0.10935333466666668</v>
      </c>
      <c r="R96" s="36">
        <f>P96-Q96</f>
        <v>6.0556665333333329E-2</v>
      </c>
      <c r="S96" s="37">
        <f>IF(R96&gt;0,1,0)</f>
        <v>1</v>
      </c>
      <c r="T96" s="35">
        <v>0.318</v>
      </c>
      <c r="U96" s="35">
        <f>_xlfn.XLOOKUP(C96,Industry_Benchmark!$A$2:$A$82,Industry_Benchmark!$F$2:$F$82,"")</f>
        <v>143.72033333333331</v>
      </c>
      <c r="V96" s="35">
        <f>T96-U96</f>
        <v>-143.4023333333333</v>
      </c>
      <c r="W96" s="35">
        <f>IF(V96&gt;0,1,0)</f>
        <v>0</v>
      </c>
      <c r="X96" s="36">
        <v>0.28100999999999998</v>
      </c>
      <c r="Y96" s="36">
        <f>_xlfn.XLOOKUP(C96,Industry_Benchmark!$A$2:$A$82,Industry_Benchmark!$G$2:$G$82,"")</f>
        <v>0.41078666000000003</v>
      </c>
      <c r="Z96" s="59">
        <f>X96-Y96</f>
        <v>-0.12977666000000004</v>
      </c>
      <c r="AA96" s="35">
        <f>IF(Z96&gt;0,1,0)</f>
        <v>0</v>
      </c>
      <c r="AB96" s="60">
        <f>SUM(G96,K96,O96,S96,W96,AA96)</f>
        <v>3</v>
      </c>
      <c r="AC96" s="61">
        <f>AB96/6</f>
        <v>0.5</v>
      </c>
      <c r="AD96" s="62" t="str" cm="1">
        <f t="array" ref="AD96">_xlfn.IFS(
AB96=6,"Excellent",
AB96=5,"Strong",
AB96=4,"Good",
AB96=3,"Average",
AB96&lt;=2,"Weak"
)</f>
        <v>Average</v>
      </c>
    </row>
    <row r="97" spans="1:30" x14ac:dyDescent="0.3">
      <c r="A97" s="12" t="s">
        <v>498</v>
      </c>
      <c r="B97" s="10" t="s">
        <v>499</v>
      </c>
      <c r="C97" s="10" t="s">
        <v>179</v>
      </c>
      <c r="D97" s="36">
        <v>0.35528999999999999</v>
      </c>
      <c r="E97" s="36">
        <f>_xlfn.XLOOKUP(C97,Industry_Benchmark!$A$2:$A$82,Industry_Benchmark!$B$2:$B$82,"")</f>
        <v>0.40717199600000004</v>
      </c>
      <c r="F97" s="36">
        <f>D97-E97</f>
        <v>-5.1881996000000041E-2</v>
      </c>
      <c r="G97" s="37">
        <f>IF(F97&gt;0,1,0)</f>
        <v>0</v>
      </c>
      <c r="H97" s="36">
        <v>0.216</v>
      </c>
      <c r="I97" s="36">
        <f>_xlfn.XLOOKUP(C97,Industry_Benchmark!$A$2:$A$82,Industry_Benchmark!$C$2:$C$82,"")</f>
        <v>0.15279999999999999</v>
      </c>
      <c r="J97" s="36">
        <f>H97-I97</f>
        <v>6.3200000000000006E-2</v>
      </c>
      <c r="K97" s="37">
        <f>IF(J97&gt;0,1,0)</f>
        <v>1</v>
      </c>
      <c r="L97" s="35">
        <v>1.8169999999999999</v>
      </c>
      <c r="M97" s="35">
        <f>_xlfn.XLOOKUP(C97,Industry_Benchmark!$A$2:$A$82,Industry_Benchmark!$D$2:$D$82,"")</f>
        <v>1.5326</v>
      </c>
      <c r="N97" s="35">
        <f>L97-M97</f>
        <v>0.28439999999999999</v>
      </c>
      <c r="O97" s="35">
        <f>IF(N97&gt;0,1,0)</f>
        <v>1</v>
      </c>
      <c r="P97" s="36">
        <v>0.14132</v>
      </c>
      <c r="Q97" s="36">
        <f>_xlfn.XLOOKUP(C97,Industry_Benchmark!$A$2:$A$82,Industry_Benchmark!$E$2:$E$82,"")</f>
        <v>0.10174799999999999</v>
      </c>
      <c r="R97" s="36">
        <f>P97-Q97</f>
        <v>3.957200000000001E-2</v>
      </c>
      <c r="S97" s="37">
        <f>IF(R97&gt;0,1,0)</f>
        <v>1</v>
      </c>
      <c r="T97" s="35">
        <v>0</v>
      </c>
      <c r="U97" s="35">
        <f>_xlfn.XLOOKUP(C97,Industry_Benchmark!$A$2:$A$82,Industry_Benchmark!$F$2:$F$82,"")</f>
        <v>95.873400000000004</v>
      </c>
      <c r="V97" s="35">
        <f>T97-U97</f>
        <v>-95.873400000000004</v>
      </c>
      <c r="W97" s="35">
        <f>IF(V97&gt;0,1,0)</f>
        <v>0</v>
      </c>
      <c r="X97" s="36"/>
      <c r="Y97" s="36">
        <f>_xlfn.XLOOKUP(C97,Industry_Benchmark!$A$2:$A$82,Industry_Benchmark!$G$2:$G$82,"")</f>
        <v>0.48719750249999999</v>
      </c>
      <c r="Z97" s="59">
        <f>X97-Y97</f>
        <v>-0.48719750249999999</v>
      </c>
      <c r="AA97" s="35">
        <f>IF(Z97&gt;0,1,0)</f>
        <v>0</v>
      </c>
      <c r="AB97" s="60">
        <f>SUM(G97,K97,O97,S97,W97,AA97)</f>
        <v>3</v>
      </c>
      <c r="AC97" s="61">
        <f>AB97/6</f>
        <v>0.5</v>
      </c>
      <c r="AD97" s="62" t="str" cm="1">
        <f t="array" ref="AD97">_xlfn.IFS(
AB97=6,"Excellent",
AB97=5,"Strong",
AB97=4,"Good",
AB97=3,"Average",
AB97&lt;=2,"Weak"
)</f>
        <v>Average</v>
      </c>
    </row>
    <row r="98" spans="1:30" x14ac:dyDescent="0.3">
      <c r="A98" s="12" t="s">
        <v>532</v>
      </c>
      <c r="B98" s="10" t="s">
        <v>533</v>
      </c>
      <c r="C98" s="10" t="s">
        <v>223</v>
      </c>
      <c r="D98" s="36">
        <v>0.1188</v>
      </c>
      <c r="E98" s="36">
        <f>_xlfn.XLOOKUP(C98,Industry_Benchmark!$A$2:$A$82,Industry_Benchmark!$B$2:$B$82,"")</f>
        <v>0.12041000057142859</v>
      </c>
      <c r="F98" s="36">
        <f>D98-E98</f>
        <v>-1.6100005714285853E-3</v>
      </c>
      <c r="G98" s="37">
        <f>IF(F98&gt;0,1,0)</f>
        <v>0</v>
      </c>
      <c r="H98" s="36">
        <v>0.121</v>
      </c>
      <c r="I98" s="36">
        <f>_xlfn.XLOOKUP(C98,Industry_Benchmark!$A$2:$A$82,Industry_Benchmark!$C$2:$C$82,"")</f>
        <v>7.0857142857142855E-2</v>
      </c>
      <c r="J98" s="36">
        <f>H98-I98</f>
        <v>5.0142857142857142E-2</v>
      </c>
      <c r="K98" s="37">
        <f>IF(J98&gt;0,1,0)</f>
        <v>1</v>
      </c>
      <c r="L98" s="35">
        <v>1.504</v>
      </c>
      <c r="M98" s="35">
        <f>_xlfn.XLOOKUP(C98,Industry_Benchmark!$A$2:$A$82,Industry_Benchmark!$D$2:$D$82,"")</f>
        <v>1.4689999999999999</v>
      </c>
      <c r="N98" s="35">
        <f>L98-M98</f>
        <v>3.5000000000000142E-2</v>
      </c>
      <c r="O98" s="35">
        <f>IF(N98&gt;0,1,0)</f>
        <v>1</v>
      </c>
      <c r="P98" s="36">
        <v>8.0010003999999996E-2</v>
      </c>
      <c r="Q98" s="36">
        <f>_xlfn.XLOOKUP(C98,Industry_Benchmark!$A$2:$A$82,Industry_Benchmark!$E$2:$E$82,"")</f>
        <v>6.6908572285714271E-2</v>
      </c>
      <c r="R98" s="36">
        <f>P98-Q98</f>
        <v>1.3101431714285725E-2</v>
      </c>
      <c r="S98" s="37">
        <f>IF(R98&gt;0,1,0)</f>
        <v>1</v>
      </c>
      <c r="T98" s="35">
        <v>96.394999999999996</v>
      </c>
      <c r="U98" s="35">
        <f>_xlfn.XLOOKUP(C98,Industry_Benchmark!$A$2:$A$82,Industry_Benchmark!$F$2:$F$82,"")</f>
        <v>107.70214285714285</v>
      </c>
      <c r="V98" s="35">
        <f>T98-U98</f>
        <v>-11.30714285714285</v>
      </c>
      <c r="W98" s="35">
        <f>IF(V98&gt;0,1,0)</f>
        <v>0</v>
      </c>
      <c r="X98" s="36">
        <v>0.22874</v>
      </c>
      <c r="Y98" s="36">
        <f>_xlfn.XLOOKUP(C98,Industry_Benchmark!$A$2:$A$82,Industry_Benchmark!$G$2:$G$82,"")</f>
        <v>0.26455856971428571</v>
      </c>
      <c r="Z98" s="59">
        <f>X98-Y98</f>
        <v>-3.5818569714285708E-2</v>
      </c>
      <c r="AA98" s="35">
        <f>IF(Z98&gt;0,1,0)</f>
        <v>0</v>
      </c>
      <c r="AB98" s="60">
        <f>SUM(G98,K98,O98,S98,W98,AA98)</f>
        <v>3</v>
      </c>
      <c r="AC98" s="61">
        <f>AB98/6</f>
        <v>0.5</v>
      </c>
      <c r="AD98" s="62" t="str" cm="1">
        <f t="array" ref="AD98">_xlfn.IFS(
AB98=6,"Excellent",
AB98=5,"Strong",
AB98=4,"Good",
AB98=3,"Average",
AB98&lt;=2,"Weak"
)</f>
        <v>Average</v>
      </c>
    </row>
    <row r="99" spans="1:30" x14ac:dyDescent="0.3">
      <c r="A99" s="12" t="s">
        <v>543</v>
      </c>
      <c r="B99" s="10" t="s">
        <v>544</v>
      </c>
      <c r="C99" s="10" t="s">
        <v>71</v>
      </c>
      <c r="D99" s="36">
        <v>5.2929999999999998E-2</v>
      </c>
      <c r="E99" s="36">
        <f>_xlfn.XLOOKUP(C99,Industry_Benchmark!$A$2:$A$82,Industry_Benchmark!$B$2:$B$82,"")</f>
        <v>4.7955999999999999E-2</v>
      </c>
      <c r="F99" s="36">
        <f>D99-E99</f>
        <v>4.9739999999999993E-3</v>
      </c>
      <c r="G99" s="37">
        <f>IF(F99&gt;0,1,0)</f>
        <v>1</v>
      </c>
      <c r="H99" s="36">
        <v>3.9E-2</v>
      </c>
      <c r="I99" s="36">
        <f>_xlfn.XLOOKUP(C99,Industry_Benchmark!$A$2:$A$82,Industry_Benchmark!$C$2:$C$82,"")</f>
        <v>7.6399999999999996E-2</v>
      </c>
      <c r="J99" s="36">
        <f>H99-I99</f>
        <v>-3.7399999999999996E-2</v>
      </c>
      <c r="K99" s="37">
        <f>IF(J99&gt;0,1,0)</f>
        <v>0</v>
      </c>
      <c r="L99" s="35">
        <v>1.252</v>
      </c>
      <c r="M99" s="35">
        <f>_xlfn.XLOOKUP(C99,Industry_Benchmark!$A$2:$A$82,Industry_Benchmark!$D$2:$D$82,"")</f>
        <v>1.0478000000000001</v>
      </c>
      <c r="N99" s="35">
        <f>L99-M99</f>
        <v>0.20419999999999994</v>
      </c>
      <c r="O99" s="35">
        <f>IF(N99&gt;0,1,0)</f>
        <v>1</v>
      </c>
      <c r="P99" s="36">
        <v>5.8650000000000001E-2</v>
      </c>
      <c r="Q99" s="36">
        <f>_xlfn.XLOOKUP(C99,Industry_Benchmark!$A$2:$A$82,Industry_Benchmark!$E$2:$E$82,"")</f>
        <v>7.6300002000000006E-2</v>
      </c>
      <c r="R99" s="36">
        <f>P99-Q99</f>
        <v>-1.7650002000000005E-2</v>
      </c>
      <c r="S99" s="37">
        <f>IF(R99&gt;0,1,0)</f>
        <v>0</v>
      </c>
      <c r="T99" s="35">
        <v>134.864</v>
      </c>
      <c r="U99" s="35">
        <f>_xlfn.XLOOKUP(C99,Industry_Benchmark!$A$2:$A$82,Industry_Benchmark!$F$2:$F$82,"")</f>
        <v>118.09080000000002</v>
      </c>
      <c r="V99" s="35">
        <f>T99-U99</f>
        <v>16.773199999999989</v>
      </c>
      <c r="W99" s="35">
        <f>IF(V99&gt;0,1,0)</f>
        <v>1</v>
      </c>
      <c r="X99" s="36">
        <v>0.19379999000000001</v>
      </c>
      <c r="Y99" s="36">
        <f>_xlfn.XLOOKUP(C99,Industry_Benchmark!$A$2:$A$82,Industry_Benchmark!$G$2:$G$82,"")</f>
        <v>0.30520200399999997</v>
      </c>
      <c r="Z99" s="59">
        <f>X99-Y99</f>
        <v>-0.11140201399999997</v>
      </c>
      <c r="AA99" s="35">
        <f>IF(Z99&gt;0,1,0)</f>
        <v>0</v>
      </c>
      <c r="AB99" s="60">
        <f>SUM(G99,K99,O99,S99,W99,AA99)</f>
        <v>3</v>
      </c>
      <c r="AC99" s="61">
        <f>AB99/6</f>
        <v>0.5</v>
      </c>
      <c r="AD99" s="62" t="str" cm="1">
        <f t="array" ref="AD99">_xlfn.IFS(
AB99=6,"Excellent",
AB99=5,"Strong",
AB99=4,"Good",
AB99=3,"Average",
AB99&lt;=2,"Weak"
)</f>
        <v>Average</v>
      </c>
    </row>
    <row r="100" spans="1:30" x14ac:dyDescent="0.3">
      <c r="A100" s="12" t="s">
        <v>545</v>
      </c>
      <c r="B100" s="10" t="s">
        <v>546</v>
      </c>
      <c r="C100" s="10" t="s">
        <v>226</v>
      </c>
      <c r="D100" s="36">
        <v>0.14923</v>
      </c>
      <c r="E100" s="36">
        <f>_xlfn.XLOOKUP(C100,Industry_Benchmark!$A$2:$A$82,Industry_Benchmark!$B$2:$B$82,"")</f>
        <v>0.16214249875</v>
      </c>
      <c r="F100" s="36">
        <f>D100-E100</f>
        <v>-1.2912498750000001E-2</v>
      </c>
      <c r="G100" s="37">
        <f>IF(F100&gt;0,1,0)</f>
        <v>0</v>
      </c>
      <c r="H100" s="36">
        <v>0.20200000000000001</v>
      </c>
      <c r="I100" s="36">
        <f>_xlfn.XLOOKUP(C100,Industry_Benchmark!$A$2:$A$82,Industry_Benchmark!$C$2:$C$82,"")</f>
        <v>0.13175000000000001</v>
      </c>
      <c r="J100" s="36">
        <f>H100-I100</f>
        <v>7.0250000000000007E-2</v>
      </c>
      <c r="K100" s="37">
        <f>IF(J100&gt;0,1,0)</f>
        <v>1</v>
      </c>
      <c r="L100" s="35">
        <v>2.5409999999999999</v>
      </c>
      <c r="M100" s="35">
        <f>_xlfn.XLOOKUP(C100,Industry_Benchmark!$A$2:$A$82,Industry_Benchmark!$D$2:$D$82,"")</f>
        <v>2.8327499999999999</v>
      </c>
      <c r="N100" s="35">
        <f>L100-M100</f>
        <v>-0.29174999999999995</v>
      </c>
      <c r="O100" s="35">
        <f>IF(N100&gt;0,1,0)</f>
        <v>0</v>
      </c>
      <c r="P100" s="36">
        <v>0.12869</v>
      </c>
      <c r="Q100" s="36">
        <f>_xlfn.XLOOKUP(C100,Industry_Benchmark!$A$2:$A$82,Industry_Benchmark!$E$2:$E$82,"")</f>
        <v>8.047999950000001E-2</v>
      </c>
      <c r="R100" s="36">
        <f>P100-Q100</f>
        <v>4.8210000499999989E-2</v>
      </c>
      <c r="S100" s="37">
        <f>IF(R100&gt;0,1,0)</f>
        <v>1</v>
      </c>
      <c r="T100" s="35">
        <v>31.398</v>
      </c>
      <c r="U100" s="35">
        <f>_xlfn.XLOOKUP(C100,Industry_Benchmark!$A$2:$A$82,Industry_Benchmark!$F$2:$F$82,"")</f>
        <v>45.386000000000003</v>
      </c>
      <c r="V100" s="35">
        <f>T100-U100</f>
        <v>-13.988000000000003</v>
      </c>
      <c r="W100" s="35">
        <f>IF(V100&gt;0,1,0)</f>
        <v>0</v>
      </c>
      <c r="X100" s="36">
        <v>0.17519999999999999</v>
      </c>
      <c r="Y100" s="36">
        <f>_xlfn.XLOOKUP(C100,Industry_Benchmark!$A$2:$A$82,Industry_Benchmark!$G$2:$G$82,"")</f>
        <v>0.140782501</v>
      </c>
      <c r="Z100" s="59">
        <f>X100-Y100</f>
        <v>3.441749899999999E-2</v>
      </c>
      <c r="AA100" s="35">
        <f>IF(Z100&gt;0,1,0)</f>
        <v>1</v>
      </c>
      <c r="AB100" s="60">
        <f>SUM(G100,K100,O100,S100,W100,AA100)</f>
        <v>3</v>
      </c>
      <c r="AC100" s="61">
        <f>AB100/6</f>
        <v>0.5</v>
      </c>
      <c r="AD100" s="62" t="str" cm="1">
        <f t="array" ref="AD100">_xlfn.IFS(
AB100=6,"Excellent",
AB100=5,"Strong",
AB100=4,"Good",
AB100=3,"Average",
AB100&lt;=2,"Weak"
)</f>
        <v>Average</v>
      </c>
    </row>
    <row r="101" spans="1:30" x14ac:dyDescent="0.3">
      <c r="A101" s="12" t="s">
        <v>551</v>
      </c>
      <c r="B101" s="10" t="s">
        <v>552</v>
      </c>
      <c r="C101" s="10" t="s">
        <v>264</v>
      </c>
      <c r="D101" s="36">
        <v>0.12168</v>
      </c>
      <c r="E101" s="36">
        <f>_xlfn.XLOOKUP(C101,Industry_Benchmark!$A$2:$A$82,Industry_Benchmark!$B$2:$B$82,"")</f>
        <v>0.11870000133333335</v>
      </c>
      <c r="F101" s="36">
        <f>D101-E101</f>
        <v>2.97999866666665E-3</v>
      </c>
      <c r="G101" s="37">
        <f>IF(F101&gt;0,1,0)</f>
        <v>1</v>
      </c>
      <c r="H101" s="36">
        <v>0.16500000000000001</v>
      </c>
      <c r="I101" s="36">
        <f>_xlfn.XLOOKUP(C101,Industry_Benchmark!$A$2:$A$82,Industry_Benchmark!$C$2:$C$82,"")</f>
        <v>0.1536666666666667</v>
      </c>
      <c r="J101" s="36">
        <f>H101-I101</f>
        <v>1.1333333333333306E-2</v>
      </c>
      <c r="K101" s="37">
        <f>IF(J101&gt;0,1,0)</f>
        <v>1</v>
      </c>
      <c r="L101" s="35">
        <v>1.298</v>
      </c>
      <c r="M101" s="35">
        <f>_xlfn.XLOOKUP(C101,Industry_Benchmark!$A$2:$A$82,Industry_Benchmark!$D$2:$D$82,"")</f>
        <v>1.2033333333333334</v>
      </c>
      <c r="N101" s="35">
        <f>L101-M101</f>
        <v>9.4666666666666677E-2</v>
      </c>
      <c r="O101" s="35">
        <f>IF(N101&gt;0,1,0)</f>
        <v>1</v>
      </c>
      <c r="P101" s="36">
        <v>3.5560000000000001E-2</v>
      </c>
      <c r="Q101" s="36">
        <f>_xlfn.XLOOKUP(C101,Industry_Benchmark!$A$2:$A$82,Industry_Benchmark!$E$2:$E$82,"")</f>
        <v>5.4233333333333335E-2</v>
      </c>
      <c r="R101" s="36">
        <f>P101-Q101</f>
        <v>-1.8673333333333333E-2</v>
      </c>
      <c r="S101" s="37">
        <f>IF(R101&gt;0,1,0)</f>
        <v>0</v>
      </c>
      <c r="T101" s="35">
        <v>68.385999999999996</v>
      </c>
      <c r="U101" s="35">
        <f>_xlfn.XLOOKUP(C101,Industry_Benchmark!$A$2:$A$82,Industry_Benchmark!$F$2:$F$82,"")</f>
        <v>199.41466666666668</v>
      </c>
      <c r="V101" s="35">
        <f>T101-U101</f>
        <v>-131.02866666666668</v>
      </c>
      <c r="W101" s="35">
        <f>IF(V101&gt;0,1,0)</f>
        <v>0</v>
      </c>
      <c r="X101" s="36">
        <v>0.13818</v>
      </c>
      <c r="Y101" s="36">
        <f>_xlfn.XLOOKUP(C101,Industry_Benchmark!$A$2:$A$82,Industry_Benchmark!$G$2:$G$82,"")</f>
        <v>0.25839666666666666</v>
      </c>
      <c r="Z101" s="59">
        <f>X101-Y101</f>
        <v>-0.12021666666666667</v>
      </c>
      <c r="AA101" s="35">
        <f>IF(Z101&gt;0,1,0)</f>
        <v>0</v>
      </c>
      <c r="AB101" s="60">
        <f>SUM(G101,K101,O101,S101,W101,AA101)</f>
        <v>3</v>
      </c>
      <c r="AC101" s="61">
        <f>AB101/6</f>
        <v>0.5</v>
      </c>
      <c r="AD101" s="62" t="str" cm="1">
        <f t="array" ref="AD101">_xlfn.IFS(
AB101=6,"Excellent",
AB101=5,"Strong",
AB101=4,"Good",
AB101=3,"Average",
AB101&lt;=2,"Weak"
)</f>
        <v>Average</v>
      </c>
    </row>
    <row r="102" spans="1:30" x14ac:dyDescent="0.3">
      <c r="A102" s="12" t="s">
        <v>48</v>
      </c>
      <c r="B102" s="10" t="s">
        <v>49</v>
      </c>
      <c r="C102" s="10" t="s">
        <v>47</v>
      </c>
      <c r="D102" s="36">
        <v>0.29511999999999999</v>
      </c>
      <c r="E102" s="36">
        <f>_xlfn.XLOOKUP(C102,Industry_Benchmark!$A$2:$A$82,Industry_Benchmark!$B$2:$B$82,"")</f>
        <v>0.30802665999999995</v>
      </c>
      <c r="F102" s="36">
        <f>D102-E102</f>
        <v>-1.2906659999999959E-2</v>
      </c>
      <c r="G102" s="37">
        <f>IF(F102&gt;0,1,0)</f>
        <v>0</v>
      </c>
      <c r="H102" s="36">
        <v>0.32400000000000001</v>
      </c>
      <c r="I102" s="36">
        <f>_xlfn.XLOOKUP(C102,Industry_Benchmark!$A$2:$A$82,Industry_Benchmark!$C$2:$C$82,"")</f>
        <v>0.28233333333333333</v>
      </c>
      <c r="J102" s="36">
        <f>H102-I102</f>
        <v>4.1666666666666685E-2</v>
      </c>
      <c r="K102" s="37">
        <f>IF(J102&gt;0,1,0)</f>
        <v>1</v>
      </c>
      <c r="L102" s="35">
        <v>2.9279999999999999</v>
      </c>
      <c r="M102" s="35">
        <f>_xlfn.XLOOKUP(C102,Industry_Benchmark!$A$2:$A$82,Industry_Benchmark!$D$2:$D$82,"")</f>
        <v>3.0033333333333334</v>
      </c>
      <c r="N102" s="35">
        <f>L102-M102</f>
        <v>-7.5333333333333474E-2</v>
      </c>
      <c r="O102" s="35">
        <f>IF(N102&gt;0,1,0)</f>
        <v>0</v>
      </c>
      <c r="P102" s="36">
        <v>0.14493</v>
      </c>
      <c r="Q102" s="36">
        <f>_xlfn.XLOOKUP(C102,Industry_Benchmark!$A$2:$A$82,Industry_Benchmark!$E$2:$E$82,"")</f>
        <v>0.15650333666666669</v>
      </c>
      <c r="R102" s="36">
        <f>P102-Q102</f>
        <v>-1.1573336666666684E-2</v>
      </c>
      <c r="S102" s="37">
        <f>IF(R102&gt;0,1,0)</f>
        <v>0</v>
      </c>
      <c r="T102" s="35">
        <v>11.329000000000001</v>
      </c>
      <c r="U102" s="35">
        <f>_xlfn.XLOOKUP(C102,Industry_Benchmark!$A$2:$A$82,Industry_Benchmark!$F$2:$F$82,"")</f>
        <v>11.410666666666666</v>
      </c>
      <c r="V102" s="35">
        <f>T102-U102</f>
        <v>-8.1666666666665222E-2</v>
      </c>
      <c r="W102" s="35">
        <f>IF(V102&gt;0,1,0)</f>
        <v>0</v>
      </c>
      <c r="X102" s="36">
        <v>0.32068999999999998</v>
      </c>
      <c r="Y102" s="36">
        <f>_xlfn.XLOOKUP(C102,Industry_Benchmark!$A$2:$A$82,Industry_Benchmark!$G$2:$G$82,"")</f>
        <v>0.31746666666666662</v>
      </c>
      <c r="Z102" s="59">
        <f>X102-Y102</f>
        <v>3.2233333333333558E-3</v>
      </c>
      <c r="AA102" s="35">
        <f>IF(Z102&gt;0,1,0)</f>
        <v>1</v>
      </c>
      <c r="AB102" s="60">
        <f>SUM(G102,K102,O102,S102,W102,AA102)</f>
        <v>2</v>
      </c>
      <c r="AC102" s="61">
        <f>AB102/6</f>
        <v>0.33333333333333331</v>
      </c>
      <c r="AD102" s="62" t="str" cm="1">
        <f t="array" ref="AD102">_xlfn.IFS(
AB102=6,"Excellent",
AB102=5,"Strong",
AB102=4,"Good",
AB102=3,"Average",
AB102&lt;=2,"Weak"
)</f>
        <v>Weak</v>
      </c>
    </row>
    <row r="103" spans="1:30" x14ac:dyDescent="0.3">
      <c r="A103" s="12" t="s">
        <v>48</v>
      </c>
      <c r="B103" s="10" t="s">
        <v>50</v>
      </c>
      <c r="C103" s="10" t="s">
        <v>47</v>
      </c>
      <c r="D103" s="36">
        <v>0.29511999999999999</v>
      </c>
      <c r="E103" s="36">
        <f>_xlfn.XLOOKUP(C103,Industry_Benchmark!$A$2:$A$82,Industry_Benchmark!$B$2:$B$82,"")</f>
        <v>0.30802665999999995</v>
      </c>
      <c r="F103" s="36">
        <f>D103-E103</f>
        <v>-1.2906659999999959E-2</v>
      </c>
      <c r="G103" s="37">
        <f>IF(F103&gt;0,1,0)</f>
        <v>0</v>
      </c>
      <c r="H103" s="36">
        <v>0.32400000000000001</v>
      </c>
      <c r="I103" s="36">
        <f>_xlfn.XLOOKUP(C103,Industry_Benchmark!$A$2:$A$82,Industry_Benchmark!$C$2:$C$82,"")</f>
        <v>0.28233333333333333</v>
      </c>
      <c r="J103" s="36">
        <f>H103-I103</f>
        <v>4.1666666666666685E-2</v>
      </c>
      <c r="K103" s="37">
        <f>IF(J103&gt;0,1,0)</f>
        <v>1</v>
      </c>
      <c r="L103" s="35">
        <v>2.9279999999999999</v>
      </c>
      <c r="M103" s="35">
        <f>_xlfn.XLOOKUP(C103,Industry_Benchmark!$A$2:$A$82,Industry_Benchmark!$D$2:$D$82,"")</f>
        <v>3.0033333333333334</v>
      </c>
      <c r="N103" s="35">
        <f>L103-M103</f>
        <v>-7.5333333333333474E-2</v>
      </c>
      <c r="O103" s="35">
        <f>IF(N103&gt;0,1,0)</f>
        <v>0</v>
      </c>
      <c r="P103" s="36">
        <v>0.14493</v>
      </c>
      <c r="Q103" s="36">
        <f>_xlfn.XLOOKUP(C103,Industry_Benchmark!$A$2:$A$82,Industry_Benchmark!$E$2:$E$82,"")</f>
        <v>0.15650333666666669</v>
      </c>
      <c r="R103" s="36">
        <f>P103-Q103</f>
        <v>-1.1573336666666684E-2</v>
      </c>
      <c r="S103" s="37">
        <f>IF(R103&gt;0,1,0)</f>
        <v>0</v>
      </c>
      <c r="T103" s="35">
        <v>11.329000000000001</v>
      </c>
      <c r="U103" s="35">
        <f>_xlfn.XLOOKUP(C103,Industry_Benchmark!$A$2:$A$82,Industry_Benchmark!$F$2:$F$82,"")</f>
        <v>11.410666666666666</v>
      </c>
      <c r="V103" s="35">
        <f>T103-U103</f>
        <v>-8.1666666666665222E-2</v>
      </c>
      <c r="W103" s="35">
        <f>IF(V103&gt;0,1,0)</f>
        <v>0</v>
      </c>
      <c r="X103" s="36">
        <v>0.32068999999999998</v>
      </c>
      <c r="Y103" s="36">
        <f>_xlfn.XLOOKUP(C103,Industry_Benchmark!$A$2:$A$82,Industry_Benchmark!$G$2:$G$82,"")</f>
        <v>0.31746666666666662</v>
      </c>
      <c r="Z103" s="59">
        <f>X103-Y103</f>
        <v>3.2233333333333558E-3</v>
      </c>
      <c r="AA103" s="35">
        <f>IF(Z103&gt;0,1,0)</f>
        <v>1</v>
      </c>
      <c r="AB103" s="60">
        <f>SUM(G103,K103,O103,S103,W103,AA103)</f>
        <v>2</v>
      </c>
      <c r="AC103" s="61">
        <f>AB103/6</f>
        <v>0.33333333333333331</v>
      </c>
      <c r="AD103" s="62" t="str" cm="1">
        <f t="array" ref="AD103">_xlfn.IFS(
AB103=6,"Excellent",
AB103=5,"Strong",
AB103=4,"Good",
AB103=3,"Average",
AB103&lt;=2,"Weak"
)</f>
        <v>Weak</v>
      </c>
    </row>
    <row r="104" spans="1:30" x14ac:dyDescent="0.3">
      <c r="A104" s="12" t="s">
        <v>52</v>
      </c>
      <c r="B104" s="10" t="s">
        <v>53</v>
      </c>
      <c r="C104" s="10" t="s">
        <v>51</v>
      </c>
      <c r="D104" s="36">
        <v>7.1010000000000004E-2</v>
      </c>
      <c r="E104" s="36">
        <f>_xlfn.XLOOKUP(C104,Industry_Benchmark!$A$2:$A$82,Industry_Benchmark!$B$2:$B$82,"")</f>
        <v>0.57074999999999998</v>
      </c>
      <c r="F104" s="36">
        <f>D104-E104</f>
        <v>-0.49973999999999996</v>
      </c>
      <c r="G104" s="37">
        <f>IF(F104&gt;0,1,0)</f>
        <v>0</v>
      </c>
      <c r="H104" s="36">
        <v>9.4E-2</v>
      </c>
      <c r="I104" s="36">
        <f>_xlfn.XLOOKUP(C104,Industry_Benchmark!$A$2:$A$82,Industry_Benchmark!$C$2:$C$82,"")</f>
        <v>0.10100000000000001</v>
      </c>
      <c r="J104" s="36">
        <f>H104-I104</f>
        <v>-7.0000000000000062E-3</v>
      </c>
      <c r="K104" s="37">
        <f>IF(J104&gt;0,1,0)</f>
        <v>0</v>
      </c>
      <c r="L104" s="35">
        <v>1.1359999999999999</v>
      </c>
      <c r="M104" s="35">
        <f>_xlfn.XLOOKUP(C104,Industry_Benchmark!$A$2:$A$82,Industry_Benchmark!$D$2:$D$82,"")</f>
        <v>2.2444999999999999</v>
      </c>
      <c r="N104" s="35">
        <f>L104-M104</f>
        <v>-1.1085</v>
      </c>
      <c r="O104" s="35">
        <f>IF(N104&gt;0,1,0)</f>
        <v>0</v>
      </c>
      <c r="P104" s="36">
        <v>4.1929998000000003E-2</v>
      </c>
      <c r="Q104" s="36">
        <f>_xlfn.XLOOKUP(C104,Industry_Benchmark!$A$2:$A$82,Industry_Benchmark!$E$2:$E$82,"")</f>
        <v>5.9479999000000006E-2</v>
      </c>
      <c r="R104" s="36">
        <f>P104-Q104</f>
        <v>-1.7550001000000003E-2</v>
      </c>
      <c r="S104" s="37">
        <f>IF(R104&gt;0,1,0)</f>
        <v>0</v>
      </c>
      <c r="T104" s="35">
        <v>100.864</v>
      </c>
      <c r="U104" s="35">
        <f>_xlfn.XLOOKUP(C104,Industry_Benchmark!$A$2:$A$82,Industry_Benchmark!$F$2:$F$82,"")</f>
        <v>92.949000000000012</v>
      </c>
      <c r="V104" s="35">
        <f>T104-U104</f>
        <v>7.914999999999992</v>
      </c>
      <c r="W104" s="35">
        <f>IF(V104&gt;0,1,0)</f>
        <v>1</v>
      </c>
      <c r="X104" s="36">
        <v>0.28805999999999998</v>
      </c>
      <c r="Y104" s="36">
        <f>_xlfn.XLOOKUP(C104,Industry_Benchmark!$A$2:$A$82,Industry_Benchmark!$G$2:$G$82,"")</f>
        <v>0.28625999000000002</v>
      </c>
      <c r="Z104" s="59">
        <f>X104-Y104</f>
        <v>1.800009999999963E-3</v>
      </c>
      <c r="AA104" s="35">
        <f>IF(Z104&gt;0,1,0)</f>
        <v>1</v>
      </c>
      <c r="AB104" s="60">
        <f>SUM(G104,K104,O104,S104,W104,AA104)</f>
        <v>2</v>
      </c>
      <c r="AC104" s="61">
        <f>AB104/6</f>
        <v>0.33333333333333331</v>
      </c>
      <c r="AD104" s="62" t="str" cm="1">
        <f t="array" ref="AD104">_xlfn.IFS(
AB104=6,"Excellent",
AB104=5,"Strong",
AB104=4,"Good",
AB104=3,"Average",
AB104&lt;=2,"Weak"
)</f>
        <v>Weak</v>
      </c>
    </row>
    <row r="105" spans="1:30" x14ac:dyDescent="0.3">
      <c r="A105" s="12" t="s">
        <v>78</v>
      </c>
      <c r="B105" s="10" t="s">
        <v>79</v>
      </c>
      <c r="C105" s="10" t="s">
        <v>77</v>
      </c>
      <c r="D105" s="36">
        <v>8.2589999999999997E-2</v>
      </c>
      <c r="E105" s="36">
        <f>_xlfn.XLOOKUP(C105,Industry_Benchmark!$A$2:$A$82,Industry_Benchmark!$B$2:$B$82,"")</f>
        <v>9.1500004999999995E-2</v>
      </c>
      <c r="F105" s="36">
        <f>D105-E105</f>
        <v>-8.9100049999999986E-3</v>
      </c>
      <c r="G105" s="37">
        <f>IF(F105&gt;0,1,0)</f>
        <v>0</v>
      </c>
      <c r="H105" s="36">
        <v>0.79400000000000004</v>
      </c>
      <c r="I105" s="36">
        <f>_xlfn.XLOOKUP(C105,Industry_Benchmark!$A$2:$A$82,Industry_Benchmark!$C$2:$C$82,"")</f>
        <v>0.82000000000000006</v>
      </c>
      <c r="J105" s="36">
        <f>H105-I105</f>
        <v>-2.6000000000000023E-2</v>
      </c>
      <c r="K105" s="37">
        <f>IF(J105&gt;0,1,0)</f>
        <v>0</v>
      </c>
      <c r="L105" s="35">
        <v>1.044</v>
      </c>
      <c r="M105" s="35">
        <f>_xlfn.XLOOKUP(C105,Industry_Benchmark!$A$2:$A$82,Industry_Benchmark!$D$2:$D$82,"")</f>
        <v>1.044</v>
      </c>
      <c r="N105" s="35">
        <f>L105-M105</f>
        <v>0</v>
      </c>
      <c r="O105" s="35">
        <f>IF(N105&gt;0,1,0)</f>
        <v>0</v>
      </c>
      <c r="P105" s="36">
        <v>4.9840003000000001E-2</v>
      </c>
      <c r="Q105" s="36">
        <f>_xlfn.XLOOKUP(C105,Industry_Benchmark!$A$2:$A$82,Industry_Benchmark!$E$2:$E$82,"")</f>
        <v>4.9840003000000001E-2</v>
      </c>
      <c r="R105" s="36">
        <f>P105-Q105</f>
        <v>0</v>
      </c>
      <c r="S105" s="37">
        <f>IF(R105&gt;0,1,0)</f>
        <v>0</v>
      </c>
      <c r="T105" s="35">
        <v>30.184000000000001</v>
      </c>
      <c r="U105" s="35">
        <f>_xlfn.XLOOKUP(C105,Industry_Benchmark!$A$2:$A$82,Industry_Benchmark!$F$2:$F$82,"")</f>
        <v>28.75</v>
      </c>
      <c r="V105" s="35">
        <f>T105-U105</f>
        <v>1.4340000000000011</v>
      </c>
      <c r="W105" s="35">
        <f>IF(V105&gt;0,1,0)</f>
        <v>1</v>
      </c>
      <c r="X105" s="36">
        <v>0.13889000000000001</v>
      </c>
      <c r="Y105" s="36">
        <f>_xlfn.XLOOKUP(C105,Industry_Benchmark!$A$2:$A$82,Industry_Benchmark!$G$2:$G$82,"")</f>
        <v>0.127670002</v>
      </c>
      <c r="Z105" s="59">
        <f>X105-Y105</f>
        <v>1.1219998000000009E-2</v>
      </c>
      <c r="AA105" s="35">
        <f>IF(Z105&gt;0,1,0)</f>
        <v>1</v>
      </c>
      <c r="AB105" s="60">
        <f>SUM(G105,K105,O105,S105,W105,AA105)</f>
        <v>2</v>
      </c>
      <c r="AC105" s="61">
        <f>AB105/6</f>
        <v>0.33333333333333331</v>
      </c>
      <c r="AD105" s="62" t="str" cm="1">
        <f t="array" ref="AD105">_xlfn.IFS(
AB105=6,"Excellent",
AB105=5,"Strong",
AB105=4,"Good",
AB105=3,"Average",
AB105&lt;=2,"Weak"
)</f>
        <v>Weak</v>
      </c>
    </row>
    <row r="106" spans="1:30" x14ac:dyDescent="0.3">
      <c r="A106" s="12" t="s">
        <v>85</v>
      </c>
      <c r="B106" s="10" t="s">
        <v>86</v>
      </c>
      <c r="C106" s="10" t="s">
        <v>77</v>
      </c>
      <c r="D106" s="36">
        <v>0.10041000999999999</v>
      </c>
      <c r="E106" s="36">
        <f>_xlfn.XLOOKUP(C106,Industry_Benchmark!$A$2:$A$82,Industry_Benchmark!$B$2:$B$82,"")</f>
        <v>9.1500004999999995E-2</v>
      </c>
      <c r="F106" s="36">
        <f>D106-E106</f>
        <v>8.9100049999999986E-3</v>
      </c>
      <c r="G106" s="37">
        <f>IF(F106&gt;0,1,0)</f>
        <v>1</v>
      </c>
      <c r="H106" s="36">
        <v>0.84599999999999997</v>
      </c>
      <c r="I106" s="36">
        <f>_xlfn.XLOOKUP(C106,Industry_Benchmark!$A$2:$A$82,Industry_Benchmark!$C$2:$C$82,"")</f>
        <v>0.82000000000000006</v>
      </c>
      <c r="J106" s="36">
        <f>H106-I106</f>
        <v>2.5999999999999912E-2</v>
      </c>
      <c r="K106" s="37">
        <f>IF(J106&gt;0,1,0)</f>
        <v>1</v>
      </c>
      <c r="L106" s="35"/>
      <c r="M106" s="35">
        <f>_xlfn.XLOOKUP(C106,Industry_Benchmark!$A$2:$A$82,Industry_Benchmark!$D$2:$D$82,"")</f>
        <v>1.044</v>
      </c>
      <c r="N106" s="35">
        <f>L106-M106</f>
        <v>-1.044</v>
      </c>
      <c r="O106" s="35">
        <f>IF(N106&gt;0,1,0)</f>
        <v>0</v>
      </c>
      <c r="P106" s="36"/>
      <c r="Q106" s="36">
        <f>_xlfn.XLOOKUP(C106,Industry_Benchmark!$A$2:$A$82,Industry_Benchmark!$E$2:$E$82,"")</f>
        <v>4.9840003000000001E-2</v>
      </c>
      <c r="R106" s="36">
        <f>P106-Q106</f>
        <v>-4.9840003000000001E-2</v>
      </c>
      <c r="S106" s="37">
        <f>IF(R106&gt;0,1,0)</f>
        <v>0</v>
      </c>
      <c r="T106" s="35">
        <v>27.315999999999999</v>
      </c>
      <c r="U106" s="35">
        <f>_xlfn.XLOOKUP(C106,Industry_Benchmark!$A$2:$A$82,Industry_Benchmark!$F$2:$F$82,"")</f>
        <v>28.75</v>
      </c>
      <c r="V106" s="35">
        <f>T106-U106</f>
        <v>-1.4340000000000011</v>
      </c>
      <c r="W106" s="35">
        <f>IF(V106&gt;0,1,0)</f>
        <v>0</v>
      </c>
      <c r="X106" s="36">
        <v>0.116450004</v>
      </c>
      <c r="Y106" s="36">
        <f>_xlfn.XLOOKUP(C106,Industry_Benchmark!$A$2:$A$82,Industry_Benchmark!$G$2:$G$82,"")</f>
        <v>0.127670002</v>
      </c>
      <c r="Z106" s="59">
        <f>X106-Y106</f>
        <v>-1.1219998000000009E-2</v>
      </c>
      <c r="AA106" s="35">
        <f>IF(Z106&gt;0,1,0)</f>
        <v>0</v>
      </c>
      <c r="AB106" s="60">
        <f>SUM(G106,K106,O106,S106,W106,AA106)</f>
        <v>2</v>
      </c>
      <c r="AC106" s="61">
        <f>AB106/6</f>
        <v>0.33333333333333331</v>
      </c>
      <c r="AD106" s="62" t="str" cm="1">
        <f t="array" ref="AD106">_xlfn.IFS(
AB106=6,"Excellent",
AB106=5,"Strong",
AB106=4,"Good",
AB106=3,"Average",
AB106&lt;=2,"Weak"
)</f>
        <v>Weak</v>
      </c>
    </row>
    <row r="107" spans="1:30" x14ac:dyDescent="0.3">
      <c r="A107" s="12" t="s">
        <v>87</v>
      </c>
      <c r="B107" s="10" t="s">
        <v>88</v>
      </c>
      <c r="C107" s="10" t="s">
        <v>68</v>
      </c>
      <c r="D107" s="36">
        <v>0.28683999999999998</v>
      </c>
      <c r="E107" s="36">
        <f>_xlfn.XLOOKUP(C107,Industry_Benchmark!$A$2:$A$82,Industry_Benchmark!$B$2:$B$82,"")</f>
        <v>0.21304124999999996</v>
      </c>
      <c r="F107" s="36">
        <f>D107-E107</f>
        <v>7.3798750000000024E-2</v>
      </c>
      <c r="G107" s="37">
        <f>IF(F107&gt;0,1,0)</f>
        <v>1</v>
      </c>
      <c r="H107" s="36">
        <v>1.3440000000000001</v>
      </c>
      <c r="I107" s="36">
        <f>_xlfn.XLOOKUP(C107,Industry_Benchmark!$A$2:$A$82,Industry_Benchmark!$C$2:$C$82,"")</f>
        <v>0.270125</v>
      </c>
      <c r="J107" s="36">
        <f>H107-I107</f>
        <v>1.0738750000000001</v>
      </c>
      <c r="K107" s="37">
        <f>IF(J107&gt;0,1,0)</f>
        <v>1</v>
      </c>
      <c r="L107" s="35">
        <v>1.385</v>
      </c>
      <c r="M107" s="35">
        <f>_xlfn.XLOOKUP(C107,Industry_Benchmark!$A$2:$A$82,Industry_Benchmark!$D$2:$D$82,"")</f>
        <v>1.4105714285714286</v>
      </c>
      <c r="N107" s="35">
        <f>L107-M107</f>
        <v>-2.5571428571428578E-2</v>
      </c>
      <c r="O107" s="35">
        <f>IF(N107&gt;0,1,0)</f>
        <v>0</v>
      </c>
      <c r="P107" s="36">
        <v>7.7770000000000006E-2</v>
      </c>
      <c r="Q107" s="36">
        <f>_xlfn.XLOOKUP(C107,Industry_Benchmark!$A$2:$A$82,Industry_Benchmark!$E$2:$E$82,"")</f>
        <v>9.5184285714285721E-2</v>
      </c>
      <c r="R107" s="36">
        <f>P107-Q107</f>
        <v>-1.7414285714285715E-2</v>
      </c>
      <c r="S107" s="37">
        <f>IF(R107&gt;0,1,0)</f>
        <v>0</v>
      </c>
      <c r="T107" s="35">
        <v>52.496000000000002</v>
      </c>
      <c r="U107" s="35">
        <f>_xlfn.XLOOKUP(C107,Industry_Benchmark!$A$2:$A$82,Industry_Benchmark!$F$2:$F$82,"")</f>
        <v>212.02399999999994</v>
      </c>
      <c r="V107" s="35">
        <f>T107-U107</f>
        <v>-159.52799999999993</v>
      </c>
      <c r="W107" s="35">
        <f>IF(V107&gt;0,1,0)</f>
        <v>0</v>
      </c>
      <c r="X107" s="36">
        <v>0.27746999999999999</v>
      </c>
      <c r="Y107" s="36">
        <f>_xlfn.XLOOKUP(C107,Industry_Benchmark!$A$2:$A$82,Industry_Benchmark!$G$2:$G$82,"")</f>
        <v>0.47294625624999997</v>
      </c>
      <c r="Z107" s="59">
        <f>X107-Y107</f>
        <v>-0.19547625624999998</v>
      </c>
      <c r="AA107" s="35">
        <f>IF(Z107&gt;0,1,0)</f>
        <v>0</v>
      </c>
      <c r="AB107" s="60">
        <f>SUM(G107,K107,O107,S107,W107,AA107)</f>
        <v>2</v>
      </c>
      <c r="AC107" s="61">
        <f>AB107/6</f>
        <v>0.33333333333333331</v>
      </c>
      <c r="AD107" s="62" t="str" cm="1">
        <f t="array" ref="AD107">_xlfn.IFS(
AB107=6,"Excellent",
AB107=5,"Strong",
AB107=4,"Good",
AB107=3,"Average",
AB107&lt;=2,"Weak"
)</f>
        <v>Weak</v>
      </c>
    </row>
    <row r="108" spans="1:30" x14ac:dyDescent="0.3">
      <c r="A108" s="12" t="s">
        <v>89</v>
      </c>
      <c r="B108" s="10" t="s">
        <v>90</v>
      </c>
      <c r="C108" s="10" t="s">
        <v>68</v>
      </c>
      <c r="D108" s="36">
        <v>0.20538001</v>
      </c>
      <c r="E108" s="36">
        <f>_xlfn.XLOOKUP(C108,Industry_Benchmark!$A$2:$A$82,Industry_Benchmark!$B$2:$B$82,"")</f>
        <v>0.21304124999999996</v>
      </c>
      <c r="F108" s="36">
        <f>D108-E108</f>
        <v>-7.6612399999999581E-3</v>
      </c>
      <c r="G108" s="37">
        <f>IF(F108&gt;0,1,0)</f>
        <v>0</v>
      </c>
      <c r="H108" s="36">
        <v>7.3999999999999996E-2</v>
      </c>
      <c r="I108" s="36">
        <f>_xlfn.XLOOKUP(C108,Industry_Benchmark!$A$2:$A$82,Industry_Benchmark!$C$2:$C$82,"")</f>
        <v>0.270125</v>
      </c>
      <c r="J108" s="36">
        <f>H108-I108</f>
        <v>-0.19612499999999999</v>
      </c>
      <c r="K108" s="37">
        <f>IF(J108&gt;0,1,0)</f>
        <v>0</v>
      </c>
      <c r="L108" s="35"/>
      <c r="M108" s="35">
        <f>_xlfn.XLOOKUP(C108,Industry_Benchmark!$A$2:$A$82,Industry_Benchmark!$D$2:$D$82,"")</f>
        <v>1.4105714285714286</v>
      </c>
      <c r="N108" s="35">
        <f>L108-M108</f>
        <v>-1.4105714285714286</v>
      </c>
      <c r="O108" s="35">
        <f>IF(N108&gt;0,1,0)</f>
        <v>0</v>
      </c>
      <c r="P108" s="36"/>
      <c r="Q108" s="36">
        <f>_xlfn.XLOOKUP(C108,Industry_Benchmark!$A$2:$A$82,Industry_Benchmark!$E$2:$E$82,"")</f>
        <v>9.5184285714285721E-2</v>
      </c>
      <c r="R108" s="36">
        <f>P108-Q108</f>
        <v>-9.5184285714285721E-2</v>
      </c>
      <c r="S108" s="37">
        <f>IF(R108&gt;0,1,0)</f>
        <v>0</v>
      </c>
      <c r="T108" s="35">
        <v>594.66</v>
      </c>
      <c r="U108" s="35">
        <f>_xlfn.XLOOKUP(C108,Industry_Benchmark!$A$2:$A$82,Industry_Benchmark!$F$2:$F$82,"")</f>
        <v>212.02399999999994</v>
      </c>
      <c r="V108" s="35">
        <f>T108-U108</f>
        <v>382.63600000000002</v>
      </c>
      <c r="W108" s="35">
        <f>IF(V108&gt;0,1,0)</f>
        <v>1</v>
      </c>
      <c r="X108" s="36">
        <v>0.86594002999999997</v>
      </c>
      <c r="Y108" s="36">
        <f>_xlfn.XLOOKUP(C108,Industry_Benchmark!$A$2:$A$82,Industry_Benchmark!$G$2:$G$82,"")</f>
        <v>0.47294625624999997</v>
      </c>
      <c r="Z108" s="59">
        <f>X108-Y108</f>
        <v>0.39299377375</v>
      </c>
      <c r="AA108" s="35">
        <f>IF(Z108&gt;0,1,0)</f>
        <v>1</v>
      </c>
      <c r="AB108" s="60">
        <f>SUM(G108,K108,O108,S108,W108,AA108)</f>
        <v>2</v>
      </c>
      <c r="AC108" s="61">
        <f>AB108/6</f>
        <v>0.33333333333333331</v>
      </c>
      <c r="AD108" s="62" t="str" cm="1">
        <f t="array" ref="AD108">_xlfn.IFS(
AB108=6,"Excellent",
AB108=5,"Strong",
AB108=4,"Good",
AB108=3,"Average",
AB108&lt;=2,"Weak"
)</f>
        <v>Weak</v>
      </c>
    </row>
    <row r="109" spans="1:30" x14ac:dyDescent="0.3">
      <c r="A109" s="12" t="s">
        <v>99</v>
      </c>
      <c r="B109" s="10" t="s">
        <v>100</v>
      </c>
      <c r="C109" s="10" t="s">
        <v>98</v>
      </c>
      <c r="D109" s="36">
        <v>2.9590001000000001E-2</v>
      </c>
      <c r="E109" s="36">
        <f>_xlfn.XLOOKUP(C109,Industry_Benchmark!$A$2:$A$82,Industry_Benchmark!$B$2:$B$82,"")</f>
        <v>0.10431499775</v>
      </c>
      <c r="F109" s="36">
        <f>D109-E109</f>
        <v>-7.4724996749999995E-2</v>
      </c>
      <c r="G109" s="37">
        <f>IF(F109&gt;0,1,0)</f>
        <v>0</v>
      </c>
      <c r="H109" s="36">
        <v>0.26</v>
      </c>
      <c r="I109" s="36">
        <f>_xlfn.XLOOKUP(C109,Industry_Benchmark!$A$2:$A$82,Industry_Benchmark!$C$2:$C$82,"")</f>
        <v>0.17549999999999999</v>
      </c>
      <c r="J109" s="36">
        <f>H109-I109</f>
        <v>8.450000000000002E-2</v>
      </c>
      <c r="K109" s="37">
        <f>IF(J109&gt;0,1,0)</f>
        <v>1</v>
      </c>
      <c r="L109" s="35">
        <v>1.083</v>
      </c>
      <c r="M109" s="35">
        <f>_xlfn.XLOOKUP(C109,Industry_Benchmark!$A$2:$A$82,Industry_Benchmark!$D$2:$D$82,"")</f>
        <v>0.89124999999999999</v>
      </c>
      <c r="N109" s="35">
        <f>L109-M109</f>
        <v>0.19174999999999998</v>
      </c>
      <c r="O109" s="35">
        <f>IF(N109&gt;0,1,0)</f>
        <v>1</v>
      </c>
      <c r="P109" s="36">
        <v>1.07700005E-2</v>
      </c>
      <c r="Q109" s="36">
        <f>_xlfn.XLOOKUP(C109,Industry_Benchmark!$A$2:$A$82,Industry_Benchmark!$E$2:$E$82,"")</f>
        <v>5.0625000125E-2</v>
      </c>
      <c r="R109" s="36">
        <f>P109-Q109</f>
        <v>-3.9854999624999998E-2</v>
      </c>
      <c r="S109" s="37">
        <f>IF(R109&gt;0,1,0)</f>
        <v>0</v>
      </c>
      <c r="T109" s="35">
        <v>57.043999999999997</v>
      </c>
      <c r="U109" s="35">
        <f>_xlfn.XLOOKUP(C109,Industry_Benchmark!$A$2:$A$82,Industry_Benchmark!$F$2:$F$82,"")</f>
        <v>174.17824999999999</v>
      </c>
      <c r="V109" s="35">
        <f>T109-U109</f>
        <v>-117.13424999999999</v>
      </c>
      <c r="W109" s="35">
        <f>IF(V109&gt;0,1,0)</f>
        <v>0</v>
      </c>
      <c r="X109" s="36">
        <v>2.5390000999999999E-2</v>
      </c>
      <c r="Y109" s="36">
        <f>_xlfn.XLOOKUP(C109,Industry_Benchmark!$A$2:$A$82,Industry_Benchmark!$G$2:$G$82,"")</f>
        <v>0.18733000275</v>
      </c>
      <c r="Z109" s="59">
        <f>X109-Y109</f>
        <v>-0.16194000175000001</v>
      </c>
      <c r="AA109" s="35">
        <f>IF(Z109&gt;0,1,0)</f>
        <v>0</v>
      </c>
      <c r="AB109" s="60">
        <f>SUM(G109,K109,O109,S109,W109,AA109)</f>
        <v>2</v>
      </c>
      <c r="AC109" s="61">
        <f>AB109/6</f>
        <v>0.33333333333333331</v>
      </c>
      <c r="AD109" s="62" t="str" cm="1">
        <f t="array" ref="AD109">_xlfn.IFS(
AB109=6,"Excellent",
AB109=5,"Strong",
AB109=4,"Good",
AB109=3,"Average",
AB109&lt;=2,"Weak"
)</f>
        <v>Weak</v>
      </c>
    </row>
    <row r="110" spans="1:30" x14ac:dyDescent="0.3">
      <c r="A110" s="12" t="s">
        <v>103</v>
      </c>
      <c r="B110" s="10" t="s">
        <v>104</v>
      </c>
      <c r="C110" s="10" t="s">
        <v>93</v>
      </c>
      <c r="D110" s="36">
        <v>0.10617</v>
      </c>
      <c r="E110" s="36">
        <f>_xlfn.XLOOKUP(C110,Industry_Benchmark!$A$2:$A$82,Industry_Benchmark!$B$2:$B$82,"")</f>
        <v>0.20896999666666669</v>
      </c>
      <c r="F110" s="36">
        <f>D110-E110</f>
        <v>-0.10279999666666668</v>
      </c>
      <c r="G110" s="37">
        <f>IF(F110&gt;0,1,0)</f>
        <v>0</v>
      </c>
      <c r="H110" s="36">
        <v>0.11600000000000001</v>
      </c>
      <c r="I110" s="36">
        <f>_xlfn.XLOOKUP(C110,Industry_Benchmark!$A$2:$A$82,Industry_Benchmark!$C$2:$C$82,"")</f>
        <v>0.13633333333333333</v>
      </c>
      <c r="J110" s="36">
        <f>H110-I110</f>
        <v>-2.0333333333333328E-2</v>
      </c>
      <c r="K110" s="37">
        <f>IF(J110&gt;0,1,0)</f>
        <v>0</v>
      </c>
      <c r="L110" s="35">
        <v>0.94499999999999995</v>
      </c>
      <c r="M110" s="35">
        <f>_xlfn.XLOOKUP(C110,Industry_Benchmark!$A$2:$A$82,Industry_Benchmark!$D$2:$D$82,"")</f>
        <v>2.3876666666666666</v>
      </c>
      <c r="N110" s="35">
        <f>L110-M110</f>
        <v>-1.4426666666666668</v>
      </c>
      <c r="O110" s="35">
        <f>IF(N110&gt;0,1,0)</f>
        <v>0</v>
      </c>
      <c r="P110" s="36">
        <v>7.9840004000000006E-2</v>
      </c>
      <c r="Q110" s="36">
        <f>_xlfn.XLOOKUP(C110,Industry_Benchmark!$A$2:$A$82,Industry_Benchmark!$E$2:$E$82,"")</f>
        <v>0.10935333466666668</v>
      </c>
      <c r="R110" s="36">
        <f>P110-Q110</f>
        <v>-2.9513330666666671E-2</v>
      </c>
      <c r="S110" s="37">
        <f>IF(R110&gt;0,1,0)</f>
        <v>0</v>
      </c>
      <c r="T110" s="35">
        <v>258.017</v>
      </c>
      <c r="U110" s="35">
        <f>_xlfn.XLOOKUP(C110,Industry_Benchmark!$A$2:$A$82,Industry_Benchmark!$F$2:$F$82,"")</f>
        <v>143.72033333333331</v>
      </c>
      <c r="V110" s="35">
        <f>T110-U110</f>
        <v>114.29666666666668</v>
      </c>
      <c r="W110" s="35">
        <f>IF(V110&gt;0,1,0)</f>
        <v>1</v>
      </c>
      <c r="X110" s="36">
        <v>0.55412996000000003</v>
      </c>
      <c r="Y110" s="36">
        <f>_xlfn.XLOOKUP(C110,Industry_Benchmark!$A$2:$A$82,Industry_Benchmark!$G$2:$G$82,"")</f>
        <v>0.41078666000000003</v>
      </c>
      <c r="Z110" s="59">
        <f>X110-Y110</f>
        <v>0.14334330000000001</v>
      </c>
      <c r="AA110" s="35">
        <f>IF(Z110&gt;0,1,0)</f>
        <v>1</v>
      </c>
      <c r="AB110" s="60">
        <f>SUM(G110,K110,O110,S110,W110,AA110)</f>
        <v>2</v>
      </c>
      <c r="AC110" s="61">
        <f>AB110/6</f>
        <v>0.33333333333333331</v>
      </c>
      <c r="AD110" s="62" t="str" cm="1">
        <f t="array" ref="AD110">_xlfn.IFS(
AB110=6,"Excellent",
AB110=5,"Strong",
AB110=4,"Good",
AB110=3,"Average",
AB110&lt;=2,"Weak"
)</f>
        <v>Weak</v>
      </c>
    </row>
    <row r="111" spans="1:30" x14ac:dyDescent="0.3">
      <c r="A111" s="12" t="s">
        <v>132</v>
      </c>
      <c r="B111" s="10" t="s">
        <v>133</v>
      </c>
      <c r="C111" s="10" t="s">
        <v>108</v>
      </c>
      <c r="D111" s="36">
        <v>0.21840999999999999</v>
      </c>
      <c r="E111" s="36">
        <f>_xlfn.XLOOKUP(C111,Industry_Benchmark!$A$2:$A$82,Industry_Benchmark!$B$2:$B$82,"")</f>
        <v>0.18452167</v>
      </c>
      <c r="F111" s="36">
        <f>D111-E111</f>
        <v>3.3888329999999994E-2</v>
      </c>
      <c r="G111" s="37">
        <f>IF(F111&gt;0,1,0)</f>
        <v>1</v>
      </c>
      <c r="H111" s="36">
        <v>0.20499999999999999</v>
      </c>
      <c r="I111" s="36">
        <f>_xlfn.XLOOKUP(C111,Industry_Benchmark!$A$2:$A$82,Industry_Benchmark!$C$2:$C$82,"")</f>
        <v>0.17683333333333331</v>
      </c>
      <c r="J111" s="36">
        <f>H111-I111</f>
        <v>2.8166666666666673E-2</v>
      </c>
      <c r="K111" s="37">
        <f>IF(J111&gt;0,1,0)</f>
        <v>1</v>
      </c>
      <c r="L111" s="35">
        <v>1.431</v>
      </c>
      <c r="M111" s="35">
        <f>_xlfn.XLOOKUP(C111,Industry_Benchmark!$A$2:$A$82,Industry_Benchmark!$D$2:$D$82,"")</f>
        <v>1.6713333333333333</v>
      </c>
      <c r="N111" s="35">
        <f>L111-M111</f>
        <v>-0.24033333333333329</v>
      </c>
      <c r="O111" s="35">
        <f>IF(N111&gt;0,1,0)</f>
        <v>0</v>
      </c>
      <c r="P111" s="36">
        <v>6.4070000000000002E-2</v>
      </c>
      <c r="Q111" s="36">
        <f>_xlfn.XLOOKUP(C111,Industry_Benchmark!$A$2:$A$82,Industry_Benchmark!$E$2:$E$82,"")</f>
        <v>9.1146667000000001E-2</v>
      </c>
      <c r="R111" s="36">
        <f>P111-Q111</f>
        <v>-2.7076666999999999E-2</v>
      </c>
      <c r="S111" s="37">
        <f>IF(R111&gt;0,1,0)</f>
        <v>0</v>
      </c>
      <c r="T111" s="35">
        <v>51.512999999999998</v>
      </c>
      <c r="U111" s="35">
        <f>_xlfn.XLOOKUP(C111,Industry_Benchmark!$A$2:$A$82,Industry_Benchmark!$F$2:$F$82,"")</f>
        <v>96.502166666666668</v>
      </c>
      <c r="V111" s="35">
        <f>T111-U111</f>
        <v>-44.989166666666669</v>
      </c>
      <c r="W111" s="35">
        <f>IF(V111&gt;0,1,0)</f>
        <v>0</v>
      </c>
      <c r="X111" s="36">
        <v>0.14942000999999999</v>
      </c>
      <c r="Y111" s="36">
        <f>_xlfn.XLOOKUP(C111,Industry_Benchmark!$A$2:$A$82,Industry_Benchmark!$G$2:$G$82,"")</f>
        <v>0.32766498833333335</v>
      </c>
      <c r="Z111" s="59">
        <f>X111-Y111</f>
        <v>-0.17824497833333336</v>
      </c>
      <c r="AA111" s="35">
        <f>IF(Z111&gt;0,1,0)</f>
        <v>0</v>
      </c>
      <c r="AB111" s="60">
        <f>SUM(G111,K111,O111,S111,W111,AA111)</f>
        <v>2</v>
      </c>
      <c r="AC111" s="61">
        <f>AB111/6</f>
        <v>0.33333333333333331</v>
      </c>
      <c r="AD111" s="62" t="str" cm="1">
        <f t="array" ref="AD111">_xlfn.IFS(
AB111=6,"Excellent",
AB111=5,"Strong",
AB111=4,"Good",
AB111=3,"Average",
AB111&lt;=2,"Weak"
)</f>
        <v>Weak</v>
      </c>
    </row>
    <row r="112" spans="1:30" x14ac:dyDescent="0.3">
      <c r="A112" s="12" t="s">
        <v>134</v>
      </c>
      <c r="B112" s="10" t="s">
        <v>135</v>
      </c>
      <c r="C112" s="10" t="s">
        <v>44</v>
      </c>
      <c r="D112" s="36">
        <v>0.30547999999999997</v>
      </c>
      <c r="E112" s="36">
        <f>_xlfn.XLOOKUP(C112,Industry_Benchmark!$A$2:$A$82,Industry_Benchmark!$B$2:$B$82,"")</f>
        <v>0.26349400199999995</v>
      </c>
      <c r="F112" s="36">
        <f>D112-E112</f>
        <v>4.1985998000000024E-2</v>
      </c>
      <c r="G112" s="37">
        <f>IF(F112&gt;0,1,0)</f>
        <v>1</v>
      </c>
      <c r="H112" s="36">
        <v>0.2</v>
      </c>
      <c r="I112" s="36">
        <f>_xlfn.XLOOKUP(C112,Industry_Benchmark!$A$2:$A$82,Industry_Benchmark!$C$2:$C$82,"")</f>
        <v>0.2198</v>
      </c>
      <c r="J112" s="36">
        <f>H112-I112</f>
        <v>-1.9799999999999984E-2</v>
      </c>
      <c r="K112" s="37">
        <f>IF(J112&gt;0,1,0)</f>
        <v>0</v>
      </c>
      <c r="L112" s="35">
        <v>1.248</v>
      </c>
      <c r="M112" s="35">
        <f>_xlfn.XLOOKUP(C112,Industry_Benchmark!$A$2:$A$82,Industry_Benchmark!$D$2:$D$82,"")</f>
        <v>1.6274000000000002</v>
      </c>
      <c r="N112" s="35">
        <f>L112-M112</f>
        <v>-0.37940000000000018</v>
      </c>
      <c r="O112" s="35">
        <f>IF(N112&gt;0,1,0)</f>
        <v>0</v>
      </c>
      <c r="P112" s="36">
        <v>0.14076</v>
      </c>
      <c r="Q112" s="36">
        <f>_xlfn.XLOOKUP(C112,Industry_Benchmark!$A$2:$A$82,Industry_Benchmark!$E$2:$E$82,"")</f>
        <v>0.10721799800000001</v>
      </c>
      <c r="R112" s="36">
        <f>P112-Q112</f>
        <v>3.3542001999999987E-2</v>
      </c>
      <c r="S112" s="37">
        <f>IF(R112&gt;0,1,0)</f>
        <v>1</v>
      </c>
      <c r="T112" s="35">
        <v>31.581</v>
      </c>
      <c r="U112" s="35">
        <f>_xlfn.XLOOKUP(C112,Industry_Benchmark!$A$2:$A$82,Industry_Benchmark!$F$2:$F$82,"")</f>
        <v>37.377800000000001</v>
      </c>
      <c r="V112" s="35">
        <f>T112-U112</f>
        <v>-5.7968000000000011</v>
      </c>
      <c r="W112" s="35">
        <f>IF(V112&gt;0,1,0)</f>
        <v>0</v>
      </c>
      <c r="X112" s="36">
        <v>0.34367999999999999</v>
      </c>
      <c r="Y112" s="36">
        <f>_xlfn.XLOOKUP(C112,Industry_Benchmark!$A$2:$A$82,Industry_Benchmark!$G$2:$G$82,"")</f>
        <v>0.40269748999999999</v>
      </c>
      <c r="Z112" s="59">
        <f>X112-Y112</f>
        <v>-5.9017490000000006E-2</v>
      </c>
      <c r="AA112" s="35">
        <f>IF(Z112&gt;0,1,0)</f>
        <v>0</v>
      </c>
      <c r="AB112" s="60">
        <f>SUM(G112,K112,O112,S112,W112,AA112)</f>
        <v>2</v>
      </c>
      <c r="AC112" s="61">
        <f>AB112/6</f>
        <v>0.33333333333333331</v>
      </c>
      <c r="AD112" s="62" t="str" cm="1">
        <f t="array" ref="AD112">_xlfn.IFS(
AB112=6,"Excellent",
AB112=5,"Strong",
AB112=4,"Good",
AB112=3,"Average",
AB112&lt;=2,"Weak"
)</f>
        <v>Weak</v>
      </c>
    </row>
    <row r="113" spans="1:30" x14ac:dyDescent="0.3">
      <c r="A113" s="12" t="s">
        <v>142</v>
      </c>
      <c r="B113" s="10" t="s">
        <v>143</v>
      </c>
      <c r="C113" s="10" t="s">
        <v>141</v>
      </c>
      <c r="D113" s="36">
        <v>0.32490003000000001</v>
      </c>
      <c r="E113" s="36">
        <f>_xlfn.XLOOKUP(C113,Industry_Benchmark!$A$2:$A$82,Industry_Benchmark!$B$2:$B$82,"")</f>
        <v>0.19883250750000001</v>
      </c>
      <c r="F113" s="36">
        <f>D113-E113</f>
        <v>0.1260675225</v>
      </c>
      <c r="G113" s="37">
        <f>IF(F113&gt;0,1,0)</f>
        <v>1</v>
      </c>
      <c r="H113" s="36">
        <v>0.13100000000000001</v>
      </c>
      <c r="I113" s="36">
        <f>_xlfn.XLOOKUP(C113,Industry_Benchmark!$A$2:$A$82,Industry_Benchmark!$C$2:$C$82,"")</f>
        <v>0.157</v>
      </c>
      <c r="J113" s="36">
        <f>H113-I113</f>
        <v>-2.5999999999999995E-2</v>
      </c>
      <c r="K113" s="37">
        <f>IF(J113&gt;0,1,0)</f>
        <v>0</v>
      </c>
      <c r="L113" s="35">
        <v>1.778</v>
      </c>
      <c r="M113" s="35">
        <f>_xlfn.XLOOKUP(C113,Industry_Benchmark!$A$2:$A$82,Industry_Benchmark!$D$2:$D$82,"")</f>
        <v>1.3137500000000002</v>
      </c>
      <c r="N113" s="35">
        <f>L113-M113</f>
        <v>0.46424999999999983</v>
      </c>
      <c r="O113" s="35">
        <f>IF(N113&gt;0,1,0)</f>
        <v>1</v>
      </c>
      <c r="P113" s="36">
        <v>0.1159</v>
      </c>
      <c r="Q113" s="36">
        <f>_xlfn.XLOOKUP(C113,Industry_Benchmark!$A$2:$A$82,Industry_Benchmark!$E$2:$E$82,"")</f>
        <v>0.13219250124999998</v>
      </c>
      <c r="R113" s="36">
        <f>P113-Q113</f>
        <v>-1.629250124999998E-2</v>
      </c>
      <c r="S113" s="37">
        <f>IF(R113&gt;0,1,0)</f>
        <v>0</v>
      </c>
      <c r="T113" s="35">
        <v>0</v>
      </c>
      <c r="U113" s="35">
        <f>_xlfn.XLOOKUP(C113,Industry_Benchmark!$A$2:$A$82,Industry_Benchmark!$F$2:$F$82,"")</f>
        <v>38.308</v>
      </c>
      <c r="V113" s="35">
        <f>T113-U113</f>
        <v>-38.308</v>
      </c>
      <c r="W113" s="35">
        <f>IF(V113&gt;0,1,0)</f>
        <v>0</v>
      </c>
      <c r="X113" s="36"/>
      <c r="Y113" s="36">
        <f>_xlfn.XLOOKUP(C113,Industry_Benchmark!$A$2:$A$82,Industry_Benchmark!$G$2:$G$82,"")</f>
        <v>0.30247997999999998</v>
      </c>
      <c r="Z113" s="59">
        <f>X113-Y113</f>
        <v>-0.30247997999999998</v>
      </c>
      <c r="AA113" s="35">
        <f>IF(Z113&gt;0,1,0)</f>
        <v>0</v>
      </c>
      <c r="AB113" s="60">
        <f>SUM(G113,K113,O113,S113,W113,AA113)</f>
        <v>2</v>
      </c>
      <c r="AC113" s="61">
        <f>AB113/6</f>
        <v>0.33333333333333331</v>
      </c>
      <c r="AD113" s="62" t="str" cm="1">
        <f t="array" ref="AD113">_xlfn.IFS(
AB113=6,"Excellent",
AB113=5,"Strong",
AB113=4,"Good",
AB113=3,"Average",
AB113&lt;=2,"Weak"
)</f>
        <v>Weak</v>
      </c>
    </row>
    <row r="114" spans="1:30" x14ac:dyDescent="0.3">
      <c r="A114" s="12" t="s">
        <v>163</v>
      </c>
      <c r="B114" s="10" t="s">
        <v>164</v>
      </c>
      <c r="C114" s="10" t="s">
        <v>116</v>
      </c>
      <c r="D114" s="36">
        <v>3.7740000000000003E-2</v>
      </c>
      <c r="E114" s="36">
        <f>_xlfn.XLOOKUP(C114,Industry_Benchmark!$A$2:$A$82,Industry_Benchmark!$B$2:$B$82,"")</f>
        <v>6.9526670100000007E-2</v>
      </c>
      <c r="F114" s="36">
        <f>D114-E114</f>
        <v>-3.1786670100000004E-2</v>
      </c>
      <c r="G114" s="37">
        <f>IF(F114&gt;0,1,0)</f>
        <v>0</v>
      </c>
      <c r="H114" s="36">
        <v>2.1999999999999999E-2</v>
      </c>
      <c r="I114" s="36">
        <f>_xlfn.XLOOKUP(C114,Industry_Benchmark!$A$2:$A$82,Industry_Benchmark!$C$2:$C$82,"")</f>
        <v>2.6666666666666644E-3</v>
      </c>
      <c r="J114" s="36">
        <f>H114-I114</f>
        <v>1.9333333333333334E-2</v>
      </c>
      <c r="K114" s="37">
        <f>IF(J114&gt;0,1,0)</f>
        <v>1</v>
      </c>
      <c r="L114" s="35">
        <v>0.88900000000000001</v>
      </c>
      <c r="M114" s="35">
        <f>_xlfn.XLOOKUP(C114,Industry_Benchmark!$A$2:$A$82,Industry_Benchmark!$D$2:$D$82,"")</f>
        <v>0.85466666666666669</v>
      </c>
      <c r="N114" s="35">
        <f>L114-M114</f>
        <v>3.4333333333333327E-2</v>
      </c>
      <c r="O114" s="35">
        <f>IF(N114&gt;0,1,0)</f>
        <v>1</v>
      </c>
      <c r="P114" s="36">
        <v>3.0710000000000001E-2</v>
      </c>
      <c r="Q114" s="36">
        <f>_xlfn.XLOOKUP(C114,Industry_Benchmark!$A$2:$A$82,Industry_Benchmark!$E$2:$E$82,"")</f>
        <v>4.439333333333334E-2</v>
      </c>
      <c r="R114" s="36">
        <f>P114-Q114</f>
        <v>-1.3683333333333339E-2</v>
      </c>
      <c r="S114" s="37">
        <f>IF(R114&gt;0,1,0)</f>
        <v>0</v>
      </c>
      <c r="T114" s="35">
        <v>157.47300000000001</v>
      </c>
      <c r="U114" s="35">
        <f>_xlfn.XLOOKUP(C114,Industry_Benchmark!$A$2:$A$82,Industry_Benchmark!$F$2:$F$82,"")</f>
        <v>167.02766666666668</v>
      </c>
      <c r="V114" s="35">
        <f>T114-U114</f>
        <v>-9.5546666666666624</v>
      </c>
      <c r="W114" s="35">
        <f>IF(V114&gt;0,1,0)</f>
        <v>0</v>
      </c>
      <c r="X114" s="36">
        <v>4.4979999999999999E-2</v>
      </c>
      <c r="Y114" s="36">
        <f>_xlfn.XLOOKUP(C114,Industry_Benchmark!$A$2:$A$82,Industry_Benchmark!$G$2:$G$82,"")</f>
        <v>0.12344333333333335</v>
      </c>
      <c r="Z114" s="59">
        <f>X114-Y114</f>
        <v>-7.8463333333333357E-2</v>
      </c>
      <c r="AA114" s="35">
        <f>IF(Z114&gt;0,1,0)</f>
        <v>0</v>
      </c>
      <c r="AB114" s="60">
        <f>SUM(G114,K114,O114,S114,W114,AA114)</f>
        <v>2</v>
      </c>
      <c r="AC114" s="61">
        <f>AB114/6</f>
        <v>0.33333333333333331</v>
      </c>
      <c r="AD114" s="62" t="str" cm="1">
        <f t="array" ref="AD114">_xlfn.IFS(
AB114=6,"Excellent",
AB114=5,"Strong",
AB114=4,"Good",
AB114=3,"Average",
AB114&lt;=2,"Weak"
)</f>
        <v>Weak</v>
      </c>
    </row>
    <row r="115" spans="1:30" x14ac:dyDescent="0.3">
      <c r="A115" s="12" t="s">
        <v>204</v>
      </c>
      <c r="B115" s="10" t="s">
        <v>205</v>
      </c>
      <c r="C115" s="10" t="s">
        <v>192</v>
      </c>
      <c r="D115" s="36">
        <v>0.12731000000000001</v>
      </c>
      <c r="E115" s="36">
        <f>_xlfn.XLOOKUP(C115,Industry_Benchmark!$A$2:$A$82,Industry_Benchmark!$B$2:$B$82,"")</f>
        <v>0.13148500000000002</v>
      </c>
      <c r="F115" s="36">
        <f>D115-E115</f>
        <v>-4.175000000000012E-3</v>
      </c>
      <c r="G115" s="37">
        <f>IF(F115&gt;0,1,0)</f>
        <v>0</v>
      </c>
      <c r="H115" s="36">
        <v>0.22800000000000001</v>
      </c>
      <c r="I115" s="36">
        <f>_xlfn.XLOOKUP(C115,Industry_Benchmark!$A$2:$A$82,Industry_Benchmark!$C$2:$C$82,"")</f>
        <v>0.19400000000000001</v>
      </c>
      <c r="J115" s="36">
        <f>H115-I115</f>
        <v>3.4000000000000002E-2</v>
      </c>
      <c r="K115" s="37">
        <f>IF(J115&gt;0,1,0)</f>
        <v>1</v>
      </c>
      <c r="L115" s="35">
        <v>1.456</v>
      </c>
      <c r="M115" s="35">
        <f>_xlfn.XLOOKUP(C115,Industry_Benchmark!$A$2:$A$82,Industry_Benchmark!$D$2:$D$82,"")</f>
        <v>1.8240000000000001</v>
      </c>
      <c r="N115" s="35">
        <f>L115-M115</f>
        <v>-0.3680000000000001</v>
      </c>
      <c r="O115" s="35">
        <f>IF(N115&gt;0,1,0)</f>
        <v>0</v>
      </c>
      <c r="P115" s="36">
        <v>5.3359999999999998E-2</v>
      </c>
      <c r="Q115" s="36">
        <f>_xlfn.XLOOKUP(C115,Industry_Benchmark!$A$2:$A$82,Industry_Benchmark!$E$2:$E$82,"")</f>
        <v>5.8454999999999993E-2</v>
      </c>
      <c r="R115" s="36">
        <f>P115-Q115</f>
        <v>-5.0949999999999954E-3</v>
      </c>
      <c r="S115" s="37">
        <f>IF(R115&gt;0,1,0)</f>
        <v>0</v>
      </c>
      <c r="T115" s="35">
        <v>228.80199999999999</v>
      </c>
      <c r="U115" s="35">
        <f>_xlfn.XLOOKUP(C115,Industry_Benchmark!$A$2:$A$82,Industry_Benchmark!$F$2:$F$82,"")</f>
        <v>246.83299999999997</v>
      </c>
      <c r="V115" s="35">
        <f>T115-U115</f>
        <v>-18.030999999999977</v>
      </c>
      <c r="W115" s="35">
        <f>IF(V115&gt;0,1,0)</f>
        <v>0</v>
      </c>
      <c r="X115" s="36">
        <v>0.40715997999999998</v>
      </c>
      <c r="Y115" s="36">
        <f>_xlfn.XLOOKUP(C115,Industry_Benchmark!$A$2:$A$82,Industry_Benchmark!$G$2:$G$82,"")</f>
        <v>0.39367998999999998</v>
      </c>
      <c r="Z115" s="59">
        <f>X115-Y115</f>
        <v>1.3479989999999997E-2</v>
      </c>
      <c r="AA115" s="35">
        <f>IF(Z115&gt;0,1,0)</f>
        <v>1</v>
      </c>
      <c r="AB115" s="60">
        <f>SUM(G115,K115,O115,S115,W115,AA115)</f>
        <v>2</v>
      </c>
      <c r="AC115" s="61">
        <f>AB115/6</f>
        <v>0.33333333333333331</v>
      </c>
      <c r="AD115" s="62" t="str" cm="1">
        <f t="array" ref="AD115">_xlfn.IFS(
AB115=6,"Excellent",
AB115=5,"Strong",
AB115=4,"Good",
AB115=3,"Average",
AB115&lt;=2,"Weak"
)</f>
        <v>Weak</v>
      </c>
    </row>
    <row r="116" spans="1:30" x14ac:dyDescent="0.3">
      <c r="A116" s="12" t="s">
        <v>206</v>
      </c>
      <c r="B116" s="10" t="s">
        <v>207</v>
      </c>
      <c r="C116" s="10" t="s">
        <v>113</v>
      </c>
      <c r="D116" s="36">
        <v>6.4009999999999997E-2</v>
      </c>
      <c r="E116" s="36">
        <f>_xlfn.XLOOKUP(C116,Industry_Benchmark!$A$2:$A$82,Industry_Benchmark!$B$2:$B$82,"")</f>
        <v>8.1440000400000018E-2</v>
      </c>
      <c r="F116" s="36">
        <f>D116-E116</f>
        <v>-1.743000040000002E-2</v>
      </c>
      <c r="G116" s="37">
        <f>IF(F116&gt;0,1,0)</f>
        <v>0</v>
      </c>
      <c r="H116" s="36">
        <v>3.0000000000000001E-3</v>
      </c>
      <c r="I116" s="36">
        <f>_xlfn.XLOOKUP(C116,Industry_Benchmark!$A$2:$A$82,Industry_Benchmark!$C$2:$C$82,"")</f>
        <v>0.12479999999999999</v>
      </c>
      <c r="J116" s="36">
        <f>H116-I116</f>
        <v>-0.12179999999999999</v>
      </c>
      <c r="K116" s="37">
        <f>IF(J116&gt;0,1,0)</f>
        <v>0</v>
      </c>
      <c r="L116" s="35">
        <v>0.83599999999999997</v>
      </c>
      <c r="M116" s="35">
        <f>_xlfn.XLOOKUP(C116,Industry_Benchmark!$A$2:$A$82,Industry_Benchmark!$D$2:$D$82,"")</f>
        <v>1.1856</v>
      </c>
      <c r="N116" s="35">
        <f>L116-M116</f>
        <v>-0.34960000000000002</v>
      </c>
      <c r="O116" s="35">
        <f>IF(N116&gt;0,1,0)</f>
        <v>0</v>
      </c>
      <c r="P116" s="36">
        <v>3.739E-2</v>
      </c>
      <c r="Q116" s="36">
        <f>_xlfn.XLOOKUP(C116,Industry_Benchmark!$A$2:$A$82,Industry_Benchmark!$E$2:$E$82,"")</f>
        <v>5.8694001199999998E-2</v>
      </c>
      <c r="R116" s="36">
        <f>P116-Q116</f>
        <v>-2.1304001199999999E-2</v>
      </c>
      <c r="S116" s="37">
        <f>IF(R116&gt;0,1,0)</f>
        <v>0</v>
      </c>
      <c r="T116" s="35">
        <v>263.80099999999999</v>
      </c>
      <c r="U116" s="35">
        <f>_xlfn.XLOOKUP(C116,Industry_Benchmark!$A$2:$A$82,Industry_Benchmark!$F$2:$F$82,"")</f>
        <v>80.509399999999999</v>
      </c>
      <c r="V116" s="35">
        <f>T116-U116</f>
        <v>183.29159999999999</v>
      </c>
      <c r="W116" s="35">
        <f>IF(V116&gt;0,1,0)</f>
        <v>1</v>
      </c>
      <c r="X116" s="36">
        <v>0.21405001000000001</v>
      </c>
      <c r="Y116" s="36">
        <f>_xlfn.XLOOKUP(C116,Industry_Benchmark!$A$2:$A$82,Industry_Benchmark!$G$2:$G$82,"")</f>
        <v>0.15423999999999999</v>
      </c>
      <c r="Z116" s="59">
        <f>X116-Y116</f>
        <v>5.9810010000000025E-2</v>
      </c>
      <c r="AA116" s="35">
        <f>IF(Z116&gt;0,1,0)</f>
        <v>1</v>
      </c>
      <c r="AB116" s="60">
        <f>SUM(G116,K116,O116,S116,W116,AA116)</f>
        <v>2</v>
      </c>
      <c r="AC116" s="61">
        <f>AB116/6</f>
        <v>0.33333333333333331</v>
      </c>
      <c r="AD116" s="62" t="str" cm="1">
        <f t="array" ref="AD116">_xlfn.IFS(
AB116=6,"Excellent",
AB116=5,"Strong",
AB116=4,"Good",
AB116=3,"Average",
AB116&lt;=2,"Weak"
)</f>
        <v>Weak</v>
      </c>
    </row>
    <row r="117" spans="1:30" x14ac:dyDescent="0.3">
      <c r="A117" s="12" t="s">
        <v>224</v>
      </c>
      <c r="B117" s="10" t="s">
        <v>225</v>
      </c>
      <c r="C117" s="10" t="s">
        <v>223</v>
      </c>
      <c r="D117" s="36">
        <v>-5.1999999999999995E-4</v>
      </c>
      <c r="E117" s="36">
        <f>_xlfn.XLOOKUP(C117,Industry_Benchmark!$A$2:$A$82,Industry_Benchmark!$B$2:$B$82,"")</f>
        <v>0.12041000057142859</v>
      </c>
      <c r="F117" s="36">
        <f>D117-E117</f>
        <v>-0.12093000057142859</v>
      </c>
      <c r="G117" s="37">
        <f>IF(F117&gt;0,1,0)</f>
        <v>0</v>
      </c>
      <c r="H117" s="36">
        <v>-5.0000000000000001E-3</v>
      </c>
      <c r="I117" s="36">
        <f>_xlfn.XLOOKUP(C117,Industry_Benchmark!$A$2:$A$82,Industry_Benchmark!$C$2:$C$82,"")</f>
        <v>7.0857142857142855E-2</v>
      </c>
      <c r="J117" s="36">
        <f>H117-I117</f>
        <v>-7.5857142857142859E-2</v>
      </c>
      <c r="K117" s="37">
        <f>IF(J117&gt;0,1,0)</f>
        <v>0</v>
      </c>
      <c r="L117" s="35">
        <v>1.796</v>
      </c>
      <c r="M117" s="35">
        <f>_xlfn.XLOOKUP(C117,Industry_Benchmark!$A$2:$A$82,Industry_Benchmark!$D$2:$D$82,"")</f>
        <v>1.4689999999999999</v>
      </c>
      <c r="N117" s="35">
        <f>L117-M117</f>
        <v>0.32700000000000018</v>
      </c>
      <c r="O117" s="35">
        <f>IF(N117&gt;0,1,0)</f>
        <v>1</v>
      </c>
      <c r="P117" s="36">
        <v>4.5100000000000001E-3</v>
      </c>
      <c r="Q117" s="36">
        <f>_xlfn.XLOOKUP(C117,Industry_Benchmark!$A$2:$A$82,Industry_Benchmark!$E$2:$E$82,"")</f>
        <v>6.6908572285714271E-2</v>
      </c>
      <c r="R117" s="36">
        <f>P117-Q117</f>
        <v>-6.2398572285714271E-2</v>
      </c>
      <c r="S117" s="37">
        <f>IF(R117&gt;0,1,0)</f>
        <v>0</v>
      </c>
      <c r="T117" s="35">
        <v>169.12299999999999</v>
      </c>
      <c r="U117" s="35">
        <f>_xlfn.XLOOKUP(C117,Industry_Benchmark!$A$2:$A$82,Industry_Benchmark!$F$2:$F$82,"")</f>
        <v>107.70214285714285</v>
      </c>
      <c r="V117" s="35">
        <f>T117-U117</f>
        <v>61.420857142857145</v>
      </c>
      <c r="W117" s="35">
        <f>IF(V117&gt;0,1,0)</f>
        <v>1</v>
      </c>
      <c r="X117" s="36">
        <v>4.8779997999999998E-2</v>
      </c>
      <c r="Y117" s="36">
        <f>_xlfn.XLOOKUP(C117,Industry_Benchmark!$A$2:$A$82,Industry_Benchmark!$G$2:$G$82,"")</f>
        <v>0.26455856971428571</v>
      </c>
      <c r="Z117" s="59">
        <f>X117-Y117</f>
        <v>-0.21577857171428572</v>
      </c>
      <c r="AA117" s="35">
        <f>IF(Z117&gt;0,1,0)</f>
        <v>0</v>
      </c>
      <c r="AB117" s="60">
        <f>SUM(G117,K117,O117,S117,W117,AA117)</f>
        <v>2</v>
      </c>
      <c r="AC117" s="61">
        <f>AB117/6</f>
        <v>0.33333333333333331</v>
      </c>
      <c r="AD117" s="62" t="str" cm="1">
        <f t="array" ref="AD117">_xlfn.IFS(
AB117=6,"Excellent",
AB117=5,"Strong",
AB117=4,"Good",
AB117=3,"Average",
AB117&lt;=2,"Weak"
)</f>
        <v>Weak</v>
      </c>
    </row>
    <row r="118" spans="1:30" x14ac:dyDescent="0.3">
      <c r="A118" s="12" t="s">
        <v>243</v>
      </c>
      <c r="B118" s="10" t="s">
        <v>244</v>
      </c>
      <c r="C118" s="10" t="s">
        <v>242</v>
      </c>
      <c r="D118" s="36">
        <v>0.17480000000000001</v>
      </c>
      <c r="E118" s="36">
        <f>_xlfn.XLOOKUP(C118,Industry_Benchmark!$A$2:$A$82,Industry_Benchmark!$B$2:$B$82,"")</f>
        <v>0.23503499999999999</v>
      </c>
      <c r="F118" s="36">
        <f>D118-E118</f>
        <v>-6.0234999999999983E-2</v>
      </c>
      <c r="G118" s="37">
        <f>IF(F118&gt;0,1,0)</f>
        <v>0</v>
      </c>
      <c r="H118" s="36">
        <v>8.8999999999999996E-2</v>
      </c>
      <c r="I118" s="36">
        <f>_xlfn.XLOOKUP(C118,Industry_Benchmark!$A$2:$A$82,Industry_Benchmark!$C$2:$C$82,"")</f>
        <v>0.108</v>
      </c>
      <c r="J118" s="36">
        <f>H118-I118</f>
        <v>-1.9000000000000003E-2</v>
      </c>
      <c r="K118" s="37">
        <f>IF(J118&gt;0,1,0)</f>
        <v>0</v>
      </c>
      <c r="L118" s="35">
        <v>1.0409999999999999</v>
      </c>
      <c r="M118" s="35">
        <f>_xlfn.XLOOKUP(C118,Industry_Benchmark!$A$2:$A$82,Industry_Benchmark!$D$2:$D$82,"")</f>
        <v>1.1555</v>
      </c>
      <c r="N118" s="35">
        <f>L118-M118</f>
        <v>-0.11450000000000005</v>
      </c>
      <c r="O118" s="35">
        <f>IF(N118&gt;0,1,0)</f>
        <v>0</v>
      </c>
      <c r="P118" s="36">
        <v>4.1329999999999999E-2</v>
      </c>
      <c r="Q118" s="36">
        <f>_xlfn.XLOOKUP(C118,Industry_Benchmark!$A$2:$A$82,Industry_Benchmark!$E$2:$E$82,"")</f>
        <v>7.8070000000000001E-2</v>
      </c>
      <c r="R118" s="36">
        <f>P118-Q118</f>
        <v>-3.6740000000000002E-2</v>
      </c>
      <c r="S118" s="37">
        <f>IF(R118&gt;0,1,0)</f>
        <v>0</v>
      </c>
      <c r="T118" s="35">
        <v>68.328000000000003</v>
      </c>
      <c r="U118" s="35">
        <f>_xlfn.XLOOKUP(C118,Industry_Benchmark!$A$2:$A$82,Industry_Benchmark!$F$2:$F$82,"")</f>
        <v>48.477499999999999</v>
      </c>
      <c r="V118" s="35">
        <f>T118-U118</f>
        <v>19.850500000000004</v>
      </c>
      <c r="W118" s="35">
        <f>IF(V118&gt;0,1,0)</f>
        <v>1</v>
      </c>
      <c r="X118" s="36">
        <v>0.50117</v>
      </c>
      <c r="Y118" s="36">
        <f>_xlfn.XLOOKUP(C118,Industry_Benchmark!$A$2:$A$82,Industry_Benchmark!$G$2:$G$82,"")</f>
        <v>0.46344499</v>
      </c>
      <c r="Z118" s="59">
        <f>X118-Y118</f>
        <v>3.7725010000000003E-2</v>
      </c>
      <c r="AA118" s="35">
        <f>IF(Z118&gt;0,1,0)</f>
        <v>1</v>
      </c>
      <c r="AB118" s="60">
        <f>SUM(G118,K118,O118,S118,W118,AA118)</f>
        <v>2</v>
      </c>
      <c r="AC118" s="61">
        <f>AB118/6</f>
        <v>0.33333333333333331</v>
      </c>
      <c r="AD118" s="62" t="str" cm="1">
        <f t="array" ref="AD118">_xlfn.IFS(
AB118=6,"Excellent",
AB118=5,"Strong",
AB118=4,"Good",
AB118=3,"Average",
AB118&lt;=2,"Weak"
)</f>
        <v>Weak</v>
      </c>
    </row>
    <row r="119" spans="1:30" x14ac:dyDescent="0.3">
      <c r="A119" s="12" t="s">
        <v>262</v>
      </c>
      <c r="B119" s="10" t="s">
        <v>263</v>
      </c>
      <c r="C119" s="10" t="s">
        <v>155</v>
      </c>
      <c r="D119" s="36">
        <v>0.12795000000000001</v>
      </c>
      <c r="E119" s="36">
        <f>_xlfn.XLOOKUP(C119,Industry_Benchmark!$A$2:$A$82,Industry_Benchmark!$B$2:$B$82,"")</f>
        <v>0.13919999833333332</v>
      </c>
      <c r="F119" s="36">
        <f>D119-E119</f>
        <v>-1.1249998333333316E-2</v>
      </c>
      <c r="G119" s="37">
        <f>IF(F119&gt;0,1,0)</f>
        <v>0</v>
      </c>
      <c r="H119" s="36">
        <v>3.4000000000000002E-2</v>
      </c>
      <c r="I119" s="36">
        <f>_xlfn.XLOOKUP(C119,Industry_Benchmark!$A$2:$A$82,Industry_Benchmark!$C$2:$C$82,"")</f>
        <v>3.0333333333333337E-2</v>
      </c>
      <c r="J119" s="36">
        <f>H119-I119</f>
        <v>3.6666666666666653E-3</v>
      </c>
      <c r="K119" s="37">
        <f>IF(J119&gt;0,1,0)</f>
        <v>1</v>
      </c>
      <c r="L119" s="35">
        <v>0.60699999999999998</v>
      </c>
      <c r="M119" s="35">
        <f>_xlfn.XLOOKUP(C119,Industry_Benchmark!$A$2:$A$82,Industry_Benchmark!$D$2:$D$82,"")</f>
        <v>0.65966666666666662</v>
      </c>
      <c r="N119" s="35">
        <f>L119-M119</f>
        <v>-5.2666666666666639E-2</v>
      </c>
      <c r="O119" s="35">
        <f>IF(N119&gt;0,1,0)</f>
        <v>0</v>
      </c>
      <c r="P119" s="36">
        <v>2.2190000000000001E-2</v>
      </c>
      <c r="Q119" s="36">
        <f>_xlfn.XLOOKUP(C119,Industry_Benchmark!$A$2:$A$82,Industry_Benchmark!$E$2:$E$82,"")</f>
        <v>2.127833375E-2</v>
      </c>
      <c r="R119" s="36">
        <f>P119-Q119</f>
        <v>9.1166625000000182E-4</v>
      </c>
      <c r="S119" s="37">
        <f>IF(R119&gt;0,1,0)</f>
        <v>1</v>
      </c>
      <c r="T119" s="35">
        <v>128.98099999999999</v>
      </c>
      <c r="U119" s="35">
        <f>_xlfn.XLOOKUP(C119,Industry_Benchmark!$A$2:$A$82,Industry_Benchmark!$F$2:$F$82,"")</f>
        <v>151.27916666666667</v>
      </c>
      <c r="V119" s="35">
        <f>T119-U119</f>
        <v>-22.298166666666674</v>
      </c>
      <c r="W119" s="35">
        <f>IF(V119&gt;0,1,0)</f>
        <v>0</v>
      </c>
      <c r="X119" s="36">
        <v>5.5980000000000002E-2</v>
      </c>
      <c r="Y119" s="36">
        <f>_xlfn.XLOOKUP(C119,Industry_Benchmark!$A$2:$A$82,Industry_Benchmark!$G$2:$G$82,"")</f>
        <v>8.0088333333333345E-2</v>
      </c>
      <c r="Z119" s="59">
        <f>X119-Y119</f>
        <v>-2.4108333333333343E-2</v>
      </c>
      <c r="AA119" s="35">
        <f>IF(Z119&gt;0,1,0)</f>
        <v>0</v>
      </c>
      <c r="AB119" s="60">
        <f>SUM(G119,K119,O119,S119,W119,AA119)</f>
        <v>2</v>
      </c>
      <c r="AC119" s="61">
        <f>AB119/6</f>
        <v>0.33333333333333331</v>
      </c>
      <c r="AD119" s="62" t="str" cm="1">
        <f t="array" ref="AD119">_xlfn.IFS(
AB119=6,"Excellent",
AB119=5,"Strong",
AB119=4,"Good",
AB119=3,"Average",
AB119&lt;=2,"Weak"
)</f>
        <v>Weak</v>
      </c>
    </row>
    <row r="120" spans="1:30" x14ac:dyDescent="0.3">
      <c r="A120" s="12" t="s">
        <v>274</v>
      </c>
      <c r="B120" s="10" t="s">
        <v>275</v>
      </c>
      <c r="C120" s="10" t="s">
        <v>62</v>
      </c>
      <c r="D120" s="36">
        <v>4.9200002E-2</v>
      </c>
      <c r="E120" s="36">
        <f>_xlfn.XLOOKUP(C120,Industry_Benchmark!$A$2:$A$82,Industry_Benchmark!$B$2:$B$82,"")</f>
        <v>3.6041667333333326E-2</v>
      </c>
      <c r="F120" s="36">
        <f>D120-E120</f>
        <v>1.3158334666666674E-2</v>
      </c>
      <c r="G120" s="37">
        <f>IF(F120&gt;0,1,0)</f>
        <v>1</v>
      </c>
      <c r="H120" s="36">
        <v>8.2000000000000003E-2</v>
      </c>
      <c r="I120" s="36">
        <f>_xlfn.XLOOKUP(C120,Industry_Benchmark!$A$2:$A$82,Industry_Benchmark!$C$2:$C$82,"")</f>
        <v>0.11366666666666668</v>
      </c>
      <c r="J120" s="36">
        <f>H120-I120</f>
        <v>-3.1666666666666676E-2</v>
      </c>
      <c r="K120" s="37">
        <f>IF(J120&gt;0,1,0)</f>
        <v>0</v>
      </c>
      <c r="L120" s="35">
        <v>0.7</v>
      </c>
      <c r="M120" s="35">
        <f>_xlfn.XLOOKUP(C120,Industry_Benchmark!$A$2:$A$82,Industry_Benchmark!$D$2:$D$82,"")</f>
        <v>1.1100000000000001</v>
      </c>
      <c r="N120" s="35">
        <f>L120-M120</f>
        <v>-0.41000000000000014</v>
      </c>
      <c r="O120" s="35">
        <f>IF(N120&gt;0,1,0)</f>
        <v>0</v>
      </c>
      <c r="P120" s="36">
        <v>3.2849999999999997E-2</v>
      </c>
      <c r="Q120" s="36">
        <f>_xlfn.XLOOKUP(C120,Industry_Benchmark!$A$2:$A$82,Industry_Benchmark!$E$2:$E$82,"")</f>
        <v>4.6496666166666666E-2</v>
      </c>
      <c r="R120" s="36">
        <f>P120-Q120</f>
        <v>-1.3646666166666668E-2</v>
      </c>
      <c r="S120" s="37">
        <f>IF(R120&gt;0,1,0)</f>
        <v>0</v>
      </c>
      <c r="T120" s="35">
        <v>73.536000000000001</v>
      </c>
      <c r="U120" s="35">
        <f>_xlfn.XLOOKUP(C120,Industry_Benchmark!$A$2:$A$82,Industry_Benchmark!$F$2:$F$82,"")</f>
        <v>78.132333333333335</v>
      </c>
      <c r="V120" s="35">
        <f>T120-U120</f>
        <v>-4.5963333333333338</v>
      </c>
      <c r="W120" s="35">
        <f>IF(V120&gt;0,1,0)</f>
        <v>0</v>
      </c>
      <c r="X120" s="36">
        <v>0.17627001</v>
      </c>
      <c r="Y120" s="36">
        <f>_xlfn.XLOOKUP(C120,Industry_Benchmark!$A$2:$A$82,Industry_Benchmark!$G$2:$G$82,"")</f>
        <v>0.14621000233333331</v>
      </c>
      <c r="Z120" s="59">
        <f>X120-Y120</f>
        <v>3.0060007666666694E-2</v>
      </c>
      <c r="AA120" s="35">
        <f>IF(Z120&gt;0,1,0)</f>
        <v>1</v>
      </c>
      <c r="AB120" s="60">
        <f>SUM(G120,K120,O120,S120,W120,AA120)</f>
        <v>2</v>
      </c>
      <c r="AC120" s="61">
        <f>AB120/6</f>
        <v>0.33333333333333331</v>
      </c>
      <c r="AD120" s="62" t="str" cm="1">
        <f t="array" ref="AD120">_xlfn.IFS(
AB120=6,"Excellent",
AB120=5,"Strong",
AB120=4,"Good",
AB120=3,"Average",
AB120&lt;=2,"Weak"
)</f>
        <v>Weak</v>
      </c>
    </row>
    <row r="121" spans="1:30" x14ac:dyDescent="0.3">
      <c r="A121" s="12" t="s">
        <v>276</v>
      </c>
      <c r="B121" s="10" t="s">
        <v>277</v>
      </c>
      <c r="C121" s="10" t="s">
        <v>179</v>
      </c>
      <c r="D121" s="36">
        <v>0.43814999999999998</v>
      </c>
      <c r="E121" s="36">
        <f>_xlfn.XLOOKUP(C121,Industry_Benchmark!$A$2:$A$82,Industry_Benchmark!$B$2:$B$82,"")</f>
        <v>0.40717199600000004</v>
      </c>
      <c r="F121" s="36">
        <f>D121-E121</f>
        <v>3.0978003999999948E-2</v>
      </c>
      <c r="G121" s="37">
        <f>IF(F121&gt;0,1,0)</f>
        <v>1</v>
      </c>
      <c r="H121" s="36">
        <v>0.27700000000000002</v>
      </c>
      <c r="I121" s="36">
        <f>_xlfn.XLOOKUP(C121,Industry_Benchmark!$A$2:$A$82,Industry_Benchmark!$C$2:$C$82,"")</f>
        <v>0.15279999999999999</v>
      </c>
      <c r="J121" s="36">
        <f>H121-I121</f>
        <v>0.12420000000000003</v>
      </c>
      <c r="K121" s="37">
        <f>IF(J121&gt;0,1,0)</f>
        <v>1</v>
      </c>
      <c r="L121" s="35">
        <v>1.006</v>
      </c>
      <c r="M121" s="35">
        <f>_xlfn.XLOOKUP(C121,Industry_Benchmark!$A$2:$A$82,Industry_Benchmark!$D$2:$D$82,"")</f>
        <v>1.5326</v>
      </c>
      <c r="N121" s="35">
        <f>L121-M121</f>
        <v>-0.52659999999999996</v>
      </c>
      <c r="O121" s="35">
        <f>IF(N121&gt;0,1,0)</f>
        <v>0</v>
      </c>
      <c r="P121" s="36">
        <v>1.5299999999999999E-2</v>
      </c>
      <c r="Q121" s="36">
        <f>_xlfn.XLOOKUP(C121,Industry_Benchmark!$A$2:$A$82,Industry_Benchmark!$E$2:$E$82,"")</f>
        <v>0.10174799999999999</v>
      </c>
      <c r="R121" s="36">
        <f>P121-Q121</f>
        <v>-8.6447999999999997E-2</v>
      </c>
      <c r="S121" s="37">
        <f>IF(R121&gt;0,1,0)</f>
        <v>0</v>
      </c>
      <c r="T121" s="35">
        <v>66.88</v>
      </c>
      <c r="U121" s="35">
        <f>_xlfn.XLOOKUP(C121,Industry_Benchmark!$A$2:$A$82,Industry_Benchmark!$F$2:$F$82,"")</f>
        <v>95.873400000000004</v>
      </c>
      <c r="V121" s="35">
        <f>T121-U121</f>
        <v>-28.993400000000008</v>
      </c>
      <c r="W121" s="35">
        <f>IF(V121&gt;0,1,0)</f>
        <v>0</v>
      </c>
      <c r="X121" s="36">
        <v>0.15029999999999999</v>
      </c>
      <c r="Y121" s="36">
        <f>_xlfn.XLOOKUP(C121,Industry_Benchmark!$A$2:$A$82,Industry_Benchmark!$G$2:$G$82,"")</f>
        <v>0.48719750249999999</v>
      </c>
      <c r="Z121" s="59">
        <f>X121-Y121</f>
        <v>-0.3368975025</v>
      </c>
      <c r="AA121" s="35">
        <f>IF(Z121&gt;0,1,0)</f>
        <v>0</v>
      </c>
      <c r="AB121" s="60">
        <f>SUM(G121,K121,O121,S121,W121,AA121)</f>
        <v>2</v>
      </c>
      <c r="AC121" s="61">
        <f>AB121/6</f>
        <v>0.33333333333333331</v>
      </c>
      <c r="AD121" s="62" t="str" cm="1">
        <f t="array" ref="AD121">_xlfn.IFS(
AB121=6,"Excellent",
AB121=5,"Strong",
AB121=4,"Good",
AB121=3,"Average",
AB121&lt;=2,"Weak"
)</f>
        <v>Weak</v>
      </c>
    </row>
    <row r="122" spans="1:30" x14ac:dyDescent="0.3">
      <c r="A122" s="12" t="s">
        <v>278</v>
      </c>
      <c r="B122" s="10" t="s">
        <v>279</v>
      </c>
      <c r="C122" s="10" t="s">
        <v>218</v>
      </c>
      <c r="D122" s="36">
        <v>0.17287000999999999</v>
      </c>
      <c r="E122" s="36">
        <f>_xlfn.XLOOKUP(C122,Industry_Benchmark!$A$2:$A$82,Industry_Benchmark!$B$2:$B$82,"")</f>
        <v>0.16090750249999999</v>
      </c>
      <c r="F122" s="36">
        <f>D122-E122</f>
        <v>1.1962507499999997E-2</v>
      </c>
      <c r="G122" s="37">
        <f>IF(F122&gt;0,1,0)</f>
        <v>1</v>
      </c>
      <c r="H122" s="36">
        <v>0.108</v>
      </c>
      <c r="I122" s="36">
        <f>_xlfn.XLOOKUP(C122,Industry_Benchmark!$A$2:$A$82,Industry_Benchmark!$C$2:$C$82,"")</f>
        <v>0.14150000000000001</v>
      </c>
      <c r="J122" s="36">
        <f>H122-I122</f>
        <v>-3.3500000000000016E-2</v>
      </c>
      <c r="K122" s="37">
        <f>IF(J122&gt;0,1,0)</f>
        <v>0</v>
      </c>
      <c r="L122" s="35">
        <v>0.61899999999999999</v>
      </c>
      <c r="M122" s="35">
        <f>_xlfn.XLOOKUP(C122,Industry_Benchmark!$A$2:$A$82,Industry_Benchmark!$D$2:$D$82,"")</f>
        <v>0.92549999999999988</v>
      </c>
      <c r="N122" s="35">
        <f>L122-M122</f>
        <v>-0.30649999999999988</v>
      </c>
      <c r="O122" s="35">
        <f>IF(N122&gt;0,1,0)</f>
        <v>0</v>
      </c>
      <c r="P122" s="36">
        <v>3.2500000000000001E-2</v>
      </c>
      <c r="Q122" s="36">
        <f>_xlfn.XLOOKUP(C122,Industry_Benchmark!$A$2:$A$82,Industry_Benchmark!$E$2:$E$82,"")</f>
        <v>3.8689999999999995E-2</v>
      </c>
      <c r="R122" s="36">
        <f>P122-Q122</f>
        <v>-6.1899999999999941E-3</v>
      </c>
      <c r="S122" s="37">
        <f>IF(R122&gt;0,1,0)</f>
        <v>0</v>
      </c>
      <c r="T122" s="35">
        <v>327.065</v>
      </c>
      <c r="U122" s="35">
        <f>_xlfn.XLOOKUP(C122,Industry_Benchmark!$A$2:$A$82,Industry_Benchmark!$F$2:$F$82,"")</f>
        <v>226.1405</v>
      </c>
      <c r="V122" s="35">
        <f>T122-U122</f>
        <v>100.92449999999999</v>
      </c>
      <c r="W122" s="35">
        <f>IF(V122&gt;0,1,0)</f>
        <v>1</v>
      </c>
      <c r="X122" s="36">
        <v>0.13070999999999999</v>
      </c>
      <c r="Y122" s="36">
        <f>_xlfn.XLOOKUP(C122,Industry_Benchmark!$A$2:$A$82,Industry_Benchmark!$G$2:$G$82,"")</f>
        <v>0.17198999999999998</v>
      </c>
      <c r="Z122" s="59">
        <f>X122-Y122</f>
        <v>-4.1279999999999983E-2</v>
      </c>
      <c r="AA122" s="35">
        <f>IF(Z122&gt;0,1,0)</f>
        <v>0</v>
      </c>
      <c r="AB122" s="60">
        <f>SUM(G122,K122,O122,S122,W122,AA122)</f>
        <v>2</v>
      </c>
      <c r="AC122" s="61">
        <f>AB122/6</f>
        <v>0.33333333333333331</v>
      </c>
      <c r="AD122" s="62" t="str" cm="1">
        <f t="array" ref="AD122">_xlfn.IFS(
AB122=6,"Excellent",
AB122=5,"Strong",
AB122=4,"Good",
AB122=3,"Average",
AB122&lt;=2,"Weak"
)</f>
        <v>Weak</v>
      </c>
    </row>
    <row r="123" spans="1:30" x14ac:dyDescent="0.3">
      <c r="A123" s="12" t="s">
        <v>285</v>
      </c>
      <c r="B123" s="10" t="s">
        <v>286</v>
      </c>
      <c r="C123" s="10" t="s">
        <v>68</v>
      </c>
      <c r="D123" s="36">
        <v>0.26905000000000001</v>
      </c>
      <c r="E123" s="36">
        <f>_xlfn.XLOOKUP(C123,Industry_Benchmark!$A$2:$A$82,Industry_Benchmark!$B$2:$B$82,"")</f>
        <v>0.21304124999999996</v>
      </c>
      <c r="F123" s="36">
        <f>D123-E123</f>
        <v>5.6008750000000052E-2</v>
      </c>
      <c r="G123" s="37">
        <f>IF(F123&gt;0,1,0)</f>
        <v>1</v>
      </c>
      <c r="H123" s="36">
        <v>0.128</v>
      </c>
      <c r="I123" s="36">
        <f>_xlfn.XLOOKUP(C123,Industry_Benchmark!$A$2:$A$82,Industry_Benchmark!$C$2:$C$82,"")</f>
        <v>0.270125</v>
      </c>
      <c r="J123" s="36">
        <f>H123-I123</f>
        <v>-0.142125</v>
      </c>
      <c r="K123" s="37">
        <f>IF(J123&gt;0,1,0)</f>
        <v>0</v>
      </c>
      <c r="L123" s="35">
        <v>1.3660000000000001</v>
      </c>
      <c r="M123" s="35">
        <f>_xlfn.XLOOKUP(C123,Industry_Benchmark!$A$2:$A$82,Industry_Benchmark!$D$2:$D$82,"")</f>
        <v>1.4105714285714286</v>
      </c>
      <c r="N123" s="35">
        <f>L123-M123</f>
        <v>-4.4571428571428484E-2</v>
      </c>
      <c r="O123" s="35">
        <f>IF(N123&gt;0,1,0)</f>
        <v>0</v>
      </c>
      <c r="P123" s="36">
        <v>0.12683</v>
      </c>
      <c r="Q123" s="36">
        <f>_xlfn.XLOOKUP(C123,Industry_Benchmark!$A$2:$A$82,Industry_Benchmark!$E$2:$E$82,"")</f>
        <v>9.5184285714285721E-2</v>
      </c>
      <c r="R123" s="36">
        <f>P123-Q123</f>
        <v>3.1645714285714277E-2</v>
      </c>
      <c r="S123" s="37">
        <f>IF(R123&gt;0,1,0)</f>
        <v>1</v>
      </c>
      <c r="T123" s="35">
        <v>128.946</v>
      </c>
      <c r="U123" s="35">
        <f>_xlfn.XLOOKUP(C123,Industry_Benchmark!$A$2:$A$82,Industry_Benchmark!$F$2:$F$82,"")</f>
        <v>212.02399999999994</v>
      </c>
      <c r="V123" s="35">
        <f>T123-U123</f>
        <v>-83.077999999999946</v>
      </c>
      <c r="W123" s="35">
        <f>IF(V123&gt;0,1,0)</f>
        <v>0</v>
      </c>
      <c r="X123" s="36">
        <v>0.37846002000000001</v>
      </c>
      <c r="Y123" s="36">
        <f>_xlfn.XLOOKUP(C123,Industry_Benchmark!$A$2:$A$82,Industry_Benchmark!$G$2:$G$82,"")</f>
        <v>0.47294625624999997</v>
      </c>
      <c r="Z123" s="59">
        <f>X123-Y123</f>
        <v>-9.4486236249999966E-2</v>
      </c>
      <c r="AA123" s="35">
        <f>IF(Z123&gt;0,1,0)</f>
        <v>0</v>
      </c>
      <c r="AB123" s="60">
        <f>SUM(G123,K123,O123,S123,W123,AA123)</f>
        <v>2</v>
      </c>
      <c r="AC123" s="61">
        <f>AB123/6</f>
        <v>0.33333333333333331</v>
      </c>
      <c r="AD123" s="62" t="str" cm="1">
        <f t="array" ref="AD123">_xlfn.IFS(
AB123=6,"Excellent",
AB123=5,"Strong",
AB123=4,"Good",
AB123=3,"Average",
AB123&lt;=2,"Weak"
)</f>
        <v>Weak</v>
      </c>
    </row>
    <row r="124" spans="1:30" x14ac:dyDescent="0.3">
      <c r="A124" s="12" t="s">
        <v>303</v>
      </c>
      <c r="B124" s="10" t="s">
        <v>304</v>
      </c>
      <c r="C124" s="10" t="s">
        <v>264</v>
      </c>
      <c r="D124" s="36">
        <v>7.5840004000000003E-2</v>
      </c>
      <c r="E124" s="36">
        <f>_xlfn.XLOOKUP(C124,Industry_Benchmark!$A$2:$A$82,Industry_Benchmark!$B$2:$B$82,"")</f>
        <v>0.11870000133333335</v>
      </c>
      <c r="F124" s="36">
        <f>D124-E124</f>
        <v>-4.2859997333333344E-2</v>
      </c>
      <c r="G124" s="37">
        <f>IF(F124&gt;0,1,0)</f>
        <v>0</v>
      </c>
      <c r="H124" s="36">
        <v>0.13300000000000001</v>
      </c>
      <c r="I124" s="36">
        <f>_xlfn.XLOOKUP(C124,Industry_Benchmark!$A$2:$A$82,Industry_Benchmark!$C$2:$C$82,"")</f>
        <v>0.1536666666666667</v>
      </c>
      <c r="J124" s="36">
        <f>H124-I124</f>
        <v>-2.0666666666666694E-2</v>
      </c>
      <c r="K124" s="37">
        <f>IF(J124&gt;0,1,0)</f>
        <v>0</v>
      </c>
      <c r="L124" s="35">
        <v>1.07</v>
      </c>
      <c r="M124" s="35">
        <f>_xlfn.XLOOKUP(C124,Industry_Benchmark!$A$2:$A$82,Industry_Benchmark!$D$2:$D$82,"")</f>
        <v>1.2033333333333334</v>
      </c>
      <c r="N124" s="35">
        <f>L124-M124</f>
        <v>-0.1333333333333333</v>
      </c>
      <c r="O124" s="35">
        <f>IF(N124&gt;0,1,0)</f>
        <v>0</v>
      </c>
      <c r="P124" s="36">
        <v>3.9059999999999997E-2</v>
      </c>
      <c r="Q124" s="36">
        <f>_xlfn.XLOOKUP(C124,Industry_Benchmark!$A$2:$A$82,Industry_Benchmark!$E$2:$E$82,"")</f>
        <v>5.4233333333333335E-2</v>
      </c>
      <c r="R124" s="36">
        <f>P124-Q124</f>
        <v>-1.5173333333333337E-2</v>
      </c>
      <c r="S124" s="37">
        <f>IF(R124&gt;0,1,0)</f>
        <v>0</v>
      </c>
      <c r="T124" s="35">
        <v>412.57100000000003</v>
      </c>
      <c r="U124" s="35">
        <f>_xlfn.XLOOKUP(C124,Industry_Benchmark!$A$2:$A$82,Industry_Benchmark!$F$2:$F$82,"")</f>
        <v>199.41466666666668</v>
      </c>
      <c r="V124" s="35">
        <f>T124-U124</f>
        <v>213.15633333333335</v>
      </c>
      <c r="W124" s="35">
        <f>IF(V124&gt;0,1,0)</f>
        <v>1</v>
      </c>
      <c r="X124" s="36">
        <v>0.32707999999999998</v>
      </c>
      <c r="Y124" s="36">
        <f>_xlfn.XLOOKUP(C124,Industry_Benchmark!$A$2:$A$82,Industry_Benchmark!$G$2:$G$82,"")</f>
        <v>0.25839666666666666</v>
      </c>
      <c r="Z124" s="59">
        <f>X124-Y124</f>
        <v>6.8683333333333318E-2</v>
      </c>
      <c r="AA124" s="35">
        <f>IF(Z124&gt;0,1,0)</f>
        <v>1</v>
      </c>
      <c r="AB124" s="60">
        <f>SUM(G124,K124,O124,S124,W124,AA124)</f>
        <v>2</v>
      </c>
      <c r="AC124" s="61">
        <f>AB124/6</f>
        <v>0.33333333333333331</v>
      </c>
      <c r="AD124" s="62" t="str" cm="1">
        <f t="array" ref="AD124">_xlfn.IFS(
AB124=6,"Excellent",
AB124=5,"Strong",
AB124=4,"Good",
AB124=3,"Average",
AB124&lt;=2,"Weak"
)</f>
        <v>Weak</v>
      </c>
    </row>
    <row r="125" spans="1:30" x14ac:dyDescent="0.3">
      <c r="A125" s="12" t="s">
        <v>309</v>
      </c>
      <c r="B125" s="10" t="s">
        <v>310</v>
      </c>
      <c r="C125" s="10" t="s">
        <v>245</v>
      </c>
      <c r="D125" s="36">
        <v>7.0279999999999995E-2</v>
      </c>
      <c r="E125" s="36">
        <f>_xlfn.XLOOKUP(C125,Industry_Benchmark!$A$2:$A$82,Industry_Benchmark!$B$2:$B$82,"")</f>
        <v>0.10666250150000001</v>
      </c>
      <c r="F125" s="36">
        <f>D125-E125</f>
        <v>-3.6382501500000011E-2</v>
      </c>
      <c r="G125" s="37">
        <f>IF(F125&gt;0,1,0)</f>
        <v>0</v>
      </c>
      <c r="H125" s="36">
        <v>9.4E-2</v>
      </c>
      <c r="I125" s="36">
        <f>_xlfn.XLOOKUP(C125,Industry_Benchmark!$A$2:$A$82,Industry_Benchmark!$C$2:$C$82,"")</f>
        <v>0.12125000000000001</v>
      </c>
      <c r="J125" s="36">
        <f>H125-I125</f>
        <v>-2.725000000000001E-2</v>
      </c>
      <c r="K125" s="37">
        <f>IF(J125&gt;0,1,0)</f>
        <v>0</v>
      </c>
      <c r="L125" s="35">
        <v>0.34</v>
      </c>
      <c r="M125" s="35">
        <f>_xlfn.XLOOKUP(C125,Industry_Benchmark!$A$2:$A$82,Industry_Benchmark!$D$2:$D$82,"")</f>
        <v>0.36975000000000002</v>
      </c>
      <c r="N125" s="35">
        <f>L125-M125</f>
        <v>-2.9749999999999999E-2</v>
      </c>
      <c r="O125" s="35">
        <f>IF(N125&gt;0,1,0)</f>
        <v>0</v>
      </c>
      <c r="P125" s="36">
        <v>4.0930000000000001E-2</v>
      </c>
      <c r="Q125" s="36">
        <f>_xlfn.XLOOKUP(C125,Industry_Benchmark!$A$2:$A$82,Industry_Benchmark!$E$2:$E$82,"")</f>
        <v>3.255500075E-2</v>
      </c>
      <c r="R125" s="36">
        <f>P125-Q125</f>
        <v>8.3749992500000009E-3</v>
      </c>
      <c r="S125" s="37">
        <f>IF(R125&gt;0,1,0)</f>
        <v>1</v>
      </c>
      <c r="T125" s="35">
        <v>27.861999999999998</v>
      </c>
      <c r="U125" s="35">
        <f>_xlfn.XLOOKUP(C125,Industry_Benchmark!$A$2:$A$82,Industry_Benchmark!$F$2:$F$82,"")</f>
        <v>29.932749999999999</v>
      </c>
      <c r="V125" s="35">
        <f>T125-U125</f>
        <v>-2.0707500000000003</v>
      </c>
      <c r="W125" s="35">
        <f>IF(V125&gt;0,1,0)</f>
        <v>0</v>
      </c>
      <c r="X125" s="36">
        <v>0.19001000000000001</v>
      </c>
      <c r="Y125" s="36">
        <f>_xlfn.XLOOKUP(C125,Industry_Benchmark!$A$2:$A$82,Industry_Benchmark!$G$2:$G$82,"")</f>
        <v>0.16450249750000001</v>
      </c>
      <c r="Z125" s="59">
        <f>X125-Y125</f>
        <v>2.5507502500000001E-2</v>
      </c>
      <c r="AA125" s="35">
        <f>IF(Z125&gt;0,1,0)</f>
        <v>1</v>
      </c>
      <c r="AB125" s="60">
        <f>SUM(G125,K125,O125,S125,W125,AA125)</f>
        <v>2</v>
      </c>
      <c r="AC125" s="61">
        <f>AB125/6</f>
        <v>0.33333333333333331</v>
      </c>
      <c r="AD125" s="62" t="str" cm="1">
        <f t="array" ref="AD125">_xlfn.IFS(
AB125=6,"Excellent",
AB125=5,"Strong",
AB125=4,"Good",
AB125=3,"Average",
AB125&lt;=2,"Weak"
)</f>
        <v>Weak</v>
      </c>
    </row>
    <row r="126" spans="1:30" x14ac:dyDescent="0.3">
      <c r="A126" s="12" t="s">
        <v>353</v>
      </c>
      <c r="B126" s="10" t="s">
        <v>354</v>
      </c>
      <c r="C126" s="10" t="s">
        <v>138</v>
      </c>
      <c r="D126" s="36">
        <v>5.4890000000000001E-2</v>
      </c>
      <c r="E126" s="36">
        <f>_xlfn.XLOOKUP(C126,Industry_Benchmark!$A$2:$A$82,Industry_Benchmark!$B$2:$B$82,"")</f>
        <v>6.1605000000000007E-2</v>
      </c>
      <c r="F126" s="36">
        <f>D126-E126</f>
        <v>-6.7150000000000057E-3</v>
      </c>
      <c r="G126" s="37">
        <f>IF(F126&gt;0,1,0)</f>
        <v>0</v>
      </c>
      <c r="H126" s="36">
        <v>0.14199999999999999</v>
      </c>
      <c r="I126" s="36">
        <f>_xlfn.XLOOKUP(C126,Industry_Benchmark!$A$2:$A$82,Industry_Benchmark!$C$2:$C$82,"")</f>
        <v>0.11699999999999999</v>
      </c>
      <c r="J126" s="36">
        <f>H126-I126</f>
        <v>2.4999999999999994E-2</v>
      </c>
      <c r="K126" s="37">
        <f>IF(J126&gt;0,1,0)</f>
        <v>1</v>
      </c>
      <c r="L126" s="35">
        <v>1.494</v>
      </c>
      <c r="M126" s="35">
        <f>_xlfn.XLOOKUP(C126,Industry_Benchmark!$A$2:$A$82,Industry_Benchmark!$D$2:$D$82,"")</f>
        <v>1.4849999999999999</v>
      </c>
      <c r="N126" s="35">
        <f>L126-M126</f>
        <v>9.000000000000119E-3</v>
      </c>
      <c r="O126" s="35">
        <f>IF(N126&gt;0,1,0)</f>
        <v>1</v>
      </c>
      <c r="P126" s="36">
        <v>5.9130000000000002E-2</v>
      </c>
      <c r="Q126" s="36">
        <f>_xlfn.XLOOKUP(C126,Industry_Benchmark!$A$2:$A$82,Industry_Benchmark!$E$2:$E$82,"")</f>
        <v>6.8404999999999994E-2</v>
      </c>
      <c r="R126" s="36">
        <f>P126-Q126</f>
        <v>-9.2749999999999916E-3</v>
      </c>
      <c r="S126" s="37">
        <f>IF(R126&gt;0,1,0)</f>
        <v>0</v>
      </c>
      <c r="T126" s="35">
        <v>147.66999999999999</v>
      </c>
      <c r="U126" s="35">
        <f>_xlfn.XLOOKUP(C126,Industry_Benchmark!$A$2:$A$82,Industry_Benchmark!$F$2:$F$82,"")</f>
        <v>180.0265</v>
      </c>
      <c r="V126" s="35">
        <f>T126-U126</f>
        <v>-32.356500000000011</v>
      </c>
      <c r="W126" s="35">
        <f>IF(V126&gt;0,1,0)</f>
        <v>0</v>
      </c>
      <c r="X126" s="36">
        <v>0.21384001</v>
      </c>
      <c r="Y126" s="36">
        <f>_xlfn.XLOOKUP(C126,Industry_Benchmark!$A$2:$A$82,Industry_Benchmark!$G$2:$G$82,"")</f>
        <v>0.472089975</v>
      </c>
      <c r="Z126" s="59">
        <f>X126-Y126</f>
        <v>-0.25824996499999997</v>
      </c>
      <c r="AA126" s="35">
        <f>IF(Z126&gt;0,1,0)</f>
        <v>0</v>
      </c>
      <c r="AB126" s="60">
        <f>SUM(G126,K126,O126,S126,W126,AA126)</f>
        <v>2</v>
      </c>
      <c r="AC126" s="61">
        <f>AB126/6</f>
        <v>0.33333333333333331</v>
      </c>
      <c r="AD126" s="62" t="str" cm="1">
        <f t="array" ref="AD126">_xlfn.IFS(
AB126=6,"Excellent",
AB126=5,"Strong",
AB126=4,"Good",
AB126=3,"Average",
AB126&lt;=2,"Weak"
)</f>
        <v>Weak</v>
      </c>
    </row>
    <row r="127" spans="1:30" x14ac:dyDescent="0.3">
      <c r="A127" s="12" t="s">
        <v>358</v>
      </c>
      <c r="B127" s="10" t="s">
        <v>359</v>
      </c>
      <c r="C127" s="10" t="s">
        <v>357</v>
      </c>
      <c r="D127" s="36">
        <v>7.8210000000000002E-2</v>
      </c>
      <c r="E127" s="36">
        <f>_xlfn.XLOOKUP(C127,Industry_Benchmark!$A$2:$A$82,Industry_Benchmark!$B$2:$B$82,"")</f>
        <v>0.13010667000000001</v>
      </c>
      <c r="F127" s="36">
        <f>D127-E127</f>
        <v>-5.1896670000000006E-2</v>
      </c>
      <c r="G127" s="37">
        <f>IF(F127&gt;0,1,0)</f>
        <v>0</v>
      </c>
      <c r="H127" s="36">
        <v>5.6000000000000001E-2</v>
      </c>
      <c r="I127" s="36">
        <f>_xlfn.XLOOKUP(C127,Industry_Benchmark!$A$2:$A$82,Industry_Benchmark!$C$2:$C$82,"")</f>
        <v>-4.3333333333333335E-2</v>
      </c>
      <c r="J127" s="36">
        <f>H127-I127</f>
        <v>9.9333333333333329E-2</v>
      </c>
      <c r="K127" s="37">
        <f>IF(J127&gt;0,1,0)</f>
        <v>1</v>
      </c>
      <c r="L127" s="35">
        <v>0.96899999999999997</v>
      </c>
      <c r="M127" s="35">
        <f>_xlfn.XLOOKUP(C127,Industry_Benchmark!$A$2:$A$82,Industry_Benchmark!$D$2:$D$82,"")</f>
        <v>0.97266666666666668</v>
      </c>
      <c r="N127" s="35">
        <f>L127-M127</f>
        <v>-3.6666666666667069E-3</v>
      </c>
      <c r="O127" s="35">
        <f>IF(N127&gt;0,1,0)</f>
        <v>0</v>
      </c>
      <c r="P127" s="36">
        <v>6.4099999999999999E-3</v>
      </c>
      <c r="Q127" s="36">
        <f>_xlfn.XLOOKUP(C127,Industry_Benchmark!$A$2:$A$82,Industry_Benchmark!$E$2:$E$82,"")</f>
        <v>1.1779999999999999E-2</v>
      </c>
      <c r="R127" s="36">
        <f>P127-Q127</f>
        <v>-5.3699999999999989E-3</v>
      </c>
      <c r="S127" s="37">
        <f>IF(R127&gt;0,1,0)</f>
        <v>0</v>
      </c>
      <c r="T127" s="35">
        <v>157.91499999999999</v>
      </c>
      <c r="U127" s="35">
        <f>_xlfn.XLOOKUP(C127,Industry_Benchmark!$A$2:$A$82,Industry_Benchmark!$F$2:$F$82,"")</f>
        <v>81.62866666666666</v>
      </c>
      <c r="V127" s="35">
        <f>T127-U127</f>
        <v>76.286333333333332</v>
      </c>
      <c r="W127" s="35">
        <f>IF(V127&gt;0,1,0)</f>
        <v>1</v>
      </c>
      <c r="X127" s="36">
        <v>7.7280000000000001E-2</v>
      </c>
      <c r="Y127" s="36">
        <f>_xlfn.XLOOKUP(C127,Industry_Benchmark!$A$2:$A$82,Industry_Benchmark!$G$2:$G$82,"")</f>
        <v>0.10791000133333332</v>
      </c>
      <c r="Z127" s="59">
        <f>X127-Y127</f>
        <v>-3.0630001333333323E-2</v>
      </c>
      <c r="AA127" s="35">
        <f>IF(Z127&gt;0,1,0)</f>
        <v>0</v>
      </c>
      <c r="AB127" s="60">
        <f>SUM(G127,K127,O127,S127,W127,AA127)</f>
        <v>2</v>
      </c>
      <c r="AC127" s="61">
        <f>AB127/6</f>
        <v>0.33333333333333331</v>
      </c>
      <c r="AD127" s="62" t="str" cm="1">
        <f t="array" ref="AD127">_xlfn.IFS(
AB127=6,"Excellent",
AB127=5,"Strong",
AB127=4,"Good",
AB127=3,"Average",
AB127&lt;=2,"Weak"
)</f>
        <v>Weak</v>
      </c>
    </row>
    <row r="128" spans="1:30" x14ac:dyDescent="0.3">
      <c r="A128" s="12" t="s">
        <v>394</v>
      </c>
      <c r="B128" s="10" t="s">
        <v>395</v>
      </c>
      <c r="C128" s="10" t="s">
        <v>62</v>
      </c>
      <c r="D128" s="36">
        <v>1.14E-2</v>
      </c>
      <c r="E128" s="36">
        <f>_xlfn.XLOOKUP(C128,Industry_Benchmark!$A$2:$A$82,Industry_Benchmark!$B$2:$B$82,"")</f>
        <v>3.6041667333333326E-2</v>
      </c>
      <c r="F128" s="36">
        <f>D128-E128</f>
        <v>-2.4641667333333325E-2</v>
      </c>
      <c r="G128" s="37">
        <f>IF(F128&gt;0,1,0)</f>
        <v>0</v>
      </c>
      <c r="H128" s="36">
        <v>0.152</v>
      </c>
      <c r="I128" s="36">
        <f>_xlfn.XLOOKUP(C128,Industry_Benchmark!$A$2:$A$82,Industry_Benchmark!$C$2:$C$82,"")</f>
        <v>0.11366666666666668</v>
      </c>
      <c r="J128" s="36">
        <f>H128-I128</f>
        <v>3.8333333333333316E-2</v>
      </c>
      <c r="K128" s="37">
        <f>IF(J128&gt;0,1,0)</f>
        <v>1</v>
      </c>
      <c r="L128" s="35">
        <v>1.1060000000000001</v>
      </c>
      <c r="M128" s="35">
        <f>_xlfn.XLOOKUP(C128,Industry_Benchmark!$A$2:$A$82,Industry_Benchmark!$D$2:$D$82,"")</f>
        <v>1.1100000000000001</v>
      </c>
      <c r="N128" s="35">
        <f>L128-M128</f>
        <v>-4.0000000000000036E-3</v>
      </c>
      <c r="O128" s="35">
        <f>IF(N128&gt;0,1,0)</f>
        <v>0</v>
      </c>
      <c r="P128" s="36">
        <v>3.1280000000000002E-2</v>
      </c>
      <c r="Q128" s="36">
        <f>_xlfn.XLOOKUP(C128,Industry_Benchmark!$A$2:$A$82,Industry_Benchmark!$E$2:$E$82,"")</f>
        <v>4.6496666166666666E-2</v>
      </c>
      <c r="R128" s="36">
        <f>P128-Q128</f>
        <v>-1.5216666166666663E-2</v>
      </c>
      <c r="S128" s="37">
        <f>IF(R128&gt;0,1,0)</f>
        <v>0</v>
      </c>
      <c r="T128" s="35">
        <v>83.861000000000004</v>
      </c>
      <c r="U128" s="35">
        <f>_xlfn.XLOOKUP(C128,Industry_Benchmark!$A$2:$A$82,Industry_Benchmark!$F$2:$F$82,"")</f>
        <v>78.132333333333335</v>
      </c>
      <c r="V128" s="35">
        <f>T128-U128</f>
        <v>5.728666666666669</v>
      </c>
      <c r="W128" s="35">
        <f>IF(V128&gt;0,1,0)</f>
        <v>1</v>
      </c>
      <c r="X128" s="36">
        <v>5.0430004E-2</v>
      </c>
      <c r="Y128" s="36">
        <f>_xlfn.XLOOKUP(C128,Industry_Benchmark!$A$2:$A$82,Industry_Benchmark!$G$2:$G$82,"")</f>
        <v>0.14621000233333331</v>
      </c>
      <c r="Z128" s="59">
        <f>X128-Y128</f>
        <v>-9.577999833333331E-2</v>
      </c>
      <c r="AA128" s="35">
        <f>IF(Z128&gt;0,1,0)</f>
        <v>0</v>
      </c>
      <c r="AB128" s="60">
        <f>SUM(G128,K128,O128,S128,W128,AA128)</f>
        <v>2</v>
      </c>
      <c r="AC128" s="61">
        <f>AB128/6</f>
        <v>0.33333333333333331</v>
      </c>
      <c r="AD128" s="62" t="str" cm="1">
        <f t="array" ref="AD128">_xlfn.IFS(
AB128=6,"Excellent",
AB128=5,"Strong",
AB128=4,"Good",
AB128=3,"Average",
AB128&lt;=2,"Weak"
)</f>
        <v>Weak</v>
      </c>
    </row>
    <row r="129" spans="1:30" x14ac:dyDescent="0.3">
      <c r="A129" s="12" t="s">
        <v>396</v>
      </c>
      <c r="B129" s="10" t="s">
        <v>397</v>
      </c>
      <c r="C129" s="10" t="s">
        <v>223</v>
      </c>
      <c r="D129" s="36">
        <v>0.19949</v>
      </c>
      <c r="E129" s="36">
        <f>_xlfn.XLOOKUP(C129,Industry_Benchmark!$A$2:$A$82,Industry_Benchmark!$B$2:$B$82,"")</f>
        <v>0.12041000057142859</v>
      </c>
      <c r="F129" s="36">
        <f>D129-E129</f>
        <v>7.9079999428571413E-2</v>
      </c>
      <c r="G129" s="37">
        <f>IF(F129&gt;0,1,0)</f>
        <v>1</v>
      </c>
      <c r="H129" s="36">
        <v>0.13200000000000001</v>
      </c>
      <c r="I129" s="36">
        <f>_xlfn.XLOOKUP(C129,Industry_Benchmark!$A$2:$A$82,Industry_Benchmark!$C$2:$C$82,"")</f>
        <v>7.0857142857142855E-2</v>
      </c>
      <c r="J129" s="36">
        <f>H129-I129</f>
        <v>6.1142857142857152E-2</v>
      </c>
      <c r="K129" s="37">
        <f>IF(J129&gt;0,1,0)</f>
        <v>1</v>
      </c>
      <c r="L129" s="35">
        <v>0.77600000000000002</v>
      </c>
      <c r="M129" s="35">
        <f>_xlfn.XLOOKUP(C129,Industry_Benchmark!$A$2:$A$82,Industry_Benchmark!$D$2:$D$82,"")</f>
        <v>1.4689999999999999</v>
      </c>
      <c r="N129" s="35">
        <f>L129-M129</f>
        <v>-0.69299999999999984</v>
      </c>
      <c r="O129" s="35">
        <f>IF(N129&gt;0,1,0)</f>
        <v>0</v>
      </c>
      <c r="P129" s="36">
        <v>4.1360002E-2</v>
      </c>
      <c r="Q129" s="36">
        <f>_xlfn.XLOOKUP(C129,Industry_Benchmark!$A$2:$A$82,Industry_Benchmark!$E$2:$E$82,"")</f>
        <v>6.6908572285714271E-2</v>
      </c>
      <c r="R129" s="36">
        <f>P129-Q129</f>
        <v>-2.5548570285714271E-2</v>
      </c>
      <c r="S129" s="37">
        <f>IF(R129&gt;0,1,0)</f>
        <v>0</v>
      </c>
      <c r="T129" s="35">
        <v>70.513999999999996</v>
      </c>
      <c r="U129" s="35">
        <f>_xlfn.XLOOKUP(C129,Industry_Benchmark!$A$2:$A$82,Industry_Benchmark!$F$2:$F$82,"")</f>
        <v>107.70214285714285</v>
      </c>
      <c r="V129" s="35">
        <f>T129-U129</f>
        <v>-37.18814285714285</v>
      </c>
      <c r="W129" s="35">
        <f>IF(V129&gt;0,1,0)</f>
        <v>0</v>
      </c>
      <c r="X129" s="36">
        <v>8.9149999999999993E-2</v>
      </c>
      <c r="Y129" s="36">
        <f>_xlfn.XLOOKUP(C129,Industry_Benchmark!$A$2:$A$82,Industry_Benchmark!$G$2:$G$82,"")</f>
        <v>0.26455856971428571</v>
      </c>
      <c r="Z129" s="59">
        <f>X129-Y129</f>
        <v>-0.1754085697142857</v>
      </c>
      <c r="AA129" s="35">
        <f>IF(Z129&gt;0,1,0)</f>
        <v>0</v>
      </c>
      <c r="AB129" s="60">
        <f>SUM(G129,K129,O129,S129,W129,AA129)</f>
        <v>2</v>
      </c>
      <c r="AC129" s="61">
        <f>AB129/6</f>
        <v>0.33333333333333331</v>
      </c>
      <c r="AD129" s="62" t="str" cm="1">
        <f t="array" ref="AD129">_xlfn.IFS(
AB129=6,"Excellent",
AB129=5,"Strong",
AB129=4,"Good",
AB129=3,"Average",
AB129&lt;=2,"Weak"
)</f>
        <v>Weak</v>
      </c>
    </row>
    <row r="130" spans="1:30" x14ac:dyDescent="0.3">
      <c r="A130" s="12" t="s">
        <v>409</v>
      </c>
      <c r="B130" s="10" t="s">
        <v>410</v>
      </c>
      <c r="C130" s="10" t="s">
        <v>408</v>
      </c>
      <c r="D130" s="36">
        <v>0.15847</v>
      </c>
      <c r="E130" s="36">
        <f>_xlfn.XLOOKUP(C130,Industry_Benchmark!$A$2:$A$82,Industry_Benchmark!$B$2:$B$82,"")</f>
        <v>0.154615</v>
      </c>
      <c r="F130" s="36">
        <f>D130-E130</f>
        <v>3.8549999999999973E-3</v>
      </c>
      <c r="G130" s="37">
        <f>IF(F130&gt;0,1,0)</f>
        <v>1</v>
      </c>
      <c r="H130" s="36">
        <v>8.5000000000000006E-2</v>
      </c>
      <c r="I130" s="36">
        <f>_xlfn.XLOOKUP(C130,Industry_Benchmark!$A$2:$A$82,Industry_Benchmark!$C$2:$C$82,"")</f>
        <v>0.124</v>
      </c>
      <c r="J130" s="36">
        <f>H130-I130</f>
        <v>-3.8999999999999993E-2</v>
      </c>
      <c r="K130" s="37">
        <f>IF(J130&gt;0,1,0)</f>
        <v>0</v>
      </c>
      <c r="L130" s="35">
        <v>0.76200000000000001</v>
      </c>
      <c r="M130" s="35">
        <f>_xlfn.XLOOKUP(C130,Industry_Benchmark!$A$2:$A$82,Industry_Benchmark!$D$2:$D$82,"")</f>
        <v>0.77350000000000008</v>
      </c>
      <c r="N130" s="35">
        <f>L130-M130</f>
        <v>-1.1500000000000066E-2</v>
      </c>
      <c r="O130" s="35">
        <f>IF(N130&gt;0,1,0)</f>
        <v>0</v>
      </c>
      <c r="P130" s="36">
        <v>0.14299000000000001</v>
      </c>
      <c r="Q130" s="36">
        <f>_xlfn.XLOOKUP(C130,Industry_Benchmark!$A$2:$A$82,Industry_Benchmark!$E$2:$E$82,"")</f>
        <v>0.13881500000000002</v>
      </c>
      <c r="R130" s="36">
        <f>P130-Q130</f>
        <v>4.1749999999999843E-3</v>
      </c>
      <c r="S130" s="37">
        <f>IF(R130&gt;0,1,0)</f>
        <v>1</v>
      </c>
      <c r="T130" s="35">
        <v>0</v>
      </c>
      <c r="U130" s="35">
        <f>_xlfn.XLOOKUP(C130,Industry_Benchmark!$A$2:$A$82,Industry_Benchmark!$F$2:$F$82,"")</f>
        <v>0</v>
      </c>
      <c r="V130" s="35">
        <f>T130-U130</f>
        <v>0</v>
      </c>
      <c r="W130" s="35">
        <f>IF(V130&gt;0,1,0)</f>
        <v>0</v>
      </c>
      <c r="X130" s="36">
        <v>7.1736700000000004</v>
      </c>
      <c r="Y130" s="36">
        <f>_xlfn.XLOOKUP(C130,Industry_Benchmark!$A$2:$A$82,Industry_Benchmark!$G$2:$G$82,"")</f>
        <v>7.1736700000000004</v>
      </c>
      <c r="Z130" s="59">
        <f>X130-Y130</f>
        <v>0</v>
      </c>
      <c r="AA130" s="35">
        <f>IF(Z130&gt;0,1,0)</f>
        <v>0</v>
      </c>
      <c r="AB130" s="60">
        <f>SUM(G130,K130,O130,S130,W130,AA130)</f>
        <v>2</v>
      </c>
      <c r="AC130" s="61">
        <f>AB130/6</f>
        <v>0.33333333333333331</v>
      </c>
      <c r="AD130" s="62" t="str" cm="1">
        <f t="array" ref="AD130">_xlfn.IFS(
AB130=6,"Excellent",
AB130=5,"Strong",
AB130=4,"Good",
AB130=3,"Average",
AB130&lt;=2,"Weak"
)</f>
        <v>Weak</v>
      </c>
    </row>
    <row r="131" spans="1:30" x14ac:dyDescent="0.3">
      <c r="A131" s="12" t="s">
        <v>433</v>
      </c>
      <c r="B131" s="10" t="s">
        <v>434</v>
      </c>
      <c r="C131" s="10" t="s">
        <v>357</v>
      </c>
      <c r="D131" s="36">
        <v>0.12445000000000001</v>
      </c>
      <c r="E131" s="36">
        <f>_xlfn.XLOOKUP(C131,Industry_Benchmark!$A$2:$A$82,Industry_Benchmark!$B$2:$B$82,"")</f>
        <v>0.13010667000000001</v>
      </c>
      <c r="F131" s="36">
        <f>D131-E131</f>
        <v>-5.6566700000000025E-3</v>
      </c>
      <c r="G131" s="37">
        <f>IF(F131&gt;0,1,0)</f>
        <v>0</v>
      </c>
      <c r="H131" s="36">
        <v>-0.11</v>
      </c>
      <c r="I131" s="36">
        <f>_xlfn.XLOOKUP(C131,Industry_Benchmark!$A$2:$A$82,Industry_Benchmark!$C$2:$C$82,"")</f>
        <v>-4.3333333333333335E-2</v>
      </c>
      <c r="J131" s="36">
        <f>H131-I131</f>
        <v>-6.6666666666666666E-2</v>
      </c>
      <c r="K131" s="37">
        <f>IF(J131&gt;0,1,0)</f>
        <v>0</v>
      </c>
      <c r="L131" s="35">
        <v>1.2649999999999999</v>
      </c>
      <c r="M131" s="35">
        <f>_xlfn.XLOOKUP(C131,Industry_Benchmark!$A$2:$A$82,Industry_Benchmark!$D$2:$D$82,"")</f>
        <v>0.97266666666666668</v>
      </c>
      <c r="N131" s="35">
        <f>L131-M131</f>
        <v>0.29233333333333322</v>
      </c>
      <c r="O131" s="35">
        <f>IF(N131&gt;0,1,0)</f>
        <v>1</v>
      </c>
      <c r="P131" s="36">
        <v>7.3600000000000002E-3</v>
      </c>
      <c r="Q131" s="36">
        <f>_xlfn.XLOOKUP(C131,Industry_Benchmark!$A$2:$A$82,Industry_Benchmark!$E$2:$E$82,"")</f>
        <v>1.1779999999999999E-2</v>
      </c>
      <c r="R131" s="36">
        <f>P131-Q131</f>
        <v>-4.4199999999999986E-3</v>
      </c>
      <c r="S131" s="37">
        <f>IF(R131&gt;0,1,0)</f>
        <v>0</v>
      </c>
      <c r="T131" s="35">
        <v>54.392000000000003</v>
      </c>
      <c r="U131" s="35">
        <f>_xlfn.XLOOKUP(C131,Industry_Benchmark!$A$2:$A$82,Industry_Benchmark!$F$2:$F$82,"")</f>
        <v>81.62866666666666</v>
      </c>
      <c r="V131" s="35">
        <f>T131-U131</f>
        <v>-27.236666666666657</v>
      </c>
      <c r="W131" s="35">
        <f>IF(V131&gt;0,1,0)</f>
        <v>0</v>
      </c>
      <c r="X131" s="36">
        <v>0.118090004</v>
      </c>
      <c r="Y131" s="36">
        <f>_xlfn.XLOOKUP(C131,Industry_Benchmark!$A$2:$A$82,Industry_Benchmark!$G$2:$G$82,"")</f>
        <v>0.10791000133333332</v>
      </c>
      <c r="Z131" s="59">
        <f>X131-Y131</f>
        <v>1.0180002666666674E-2</v>
      </c>
      <c r="AA131" s="35">
        <f>IF(Z131&gt;0,1,0)</f>
        <v>1</v>
      </c>
      <c r="AB131" s="60">
        <f>SUM(G131,K131,O131,S131,W131,AA131)</f>
        <v>2</v>
      </c>
      <c r="AC131" s="61">
        <f>AB131/6</f>
        <v>0.33333333333333331</v>
      </c>
      <c r="AD131" s="62" t="str" cm="1">
        <f t="array" ref="AD131">_xlfn.IFS(
AB131=6,"Excellent",
AB131=5,"Strong",
AB131=4,"Good",
AB131=3,"Average",
AB131&lt;=2,"Weak"
)</f>
        <v>Weak</v>
      </c>
    </row>
    <row r="132" spans="1:30" x14ac:dyDescent="0.3">
      <c r="A132" s="12" t="s">
        <v>450</v>
      </c>
      <c r="B132" s="10" t="s">
        <v>451</v>
      </c>
      <c r="C132" s="10" t="s">
        <v>108</v>
      </c>
      <c r="D132" s="36">
        <v>5.6660000000000002E-2</v>
      </c>
      <c r="E132" s="36">
        <f>_xlfn.XLOOKUP(C132,Industry_Benchmark!$A$2:$A$82,Industry_Benchmark!$B$2:$B$82,"")</f>
        <v>0.18452167</v>
      </c>
      <c r="F132" s="36">
        <f>D132-E132</f>
        <v>-0.12786166999999998</v>
      </c>
      <c r="G132" s="37">
        <f>IF(F132&gt;0,1,0)</f>
        <v>0</v>
      </c>
      <c r="H132" s="36">
        <v>0.217</v>
      </c>
      <c r="I132" s="36">
        <f>_xlfn.XLOOKUP(C132,Industry_Benchmark!$A$2:$A$82,Industry_Benchmark!$C$2:$C$82,"")</f>
        <v>0.17683333333333331</v>
      </c>
      <c r="J132" s="36">
        <f>H132-I132</f>
        <v>4.0166666666666684E-2</v>
      </c>
      <c r="K132" s="37">
        <f>IF(J132&gt;0,1,0)</f>
        <v>1</v>
      </c>
      <c r="L132" s="35">
        <v>0.93500000000000005</v>
      </c>
      <c r="M132" s="35">
        <f>_xlfn.XLOOKUP(C132,Industry_Benchmark!$A$2:$A$82,Industry_Benchmark!$D$2:$D$82,"")</f>
        <v>1.6713333333333333</v>
      </c>
      <c r="N132" s="35">
        <f>L132-M132</f>
        <v>-0.73633333333333328</v>
      </c>
      <c r="O132" s="35">
        <f>IF(N132&gt;0,1,0)</f>
        <v>0</v>
      </c>
      <c r="P132" s="36">
        <v>3.2980002000000001E-2</v>
      </c>
      <c r="Q132" s="36">
        <f>_xlfn.XLOOKUP(C132,Industry_Benchmark!$A$2:$A$82,Industry_Benchmark!$E$2:$E$82,"")</f>
        <v>9.1146667000000001E-2</v>
      </c>
      <c r="R132" s="36">
        <f>P132-Q132</f>
        <v>-5.8166664999999999E-2</v>
      </c>
      <c r="S132" s="37">
        <f>IF(R132&gt;0,1,0)</f>
        <v>0</v>
      </c>
      <c r="T132" s="35">
        <v>215.011</v>
      </c>
      <c r="U132" s="35">
        <f>_xlfn.XLOOKUP(C132,Industry_Benchmark!$A$2:$A$82,Industry_Benchmark!$F$2:$F$82,"")</f>
        <v>96.502166666666668</v>
      </c>
      <c r="V132" s="35">
        <f>T132-U132</f>
        <v>118.50883333333333</v>
      </c>
      <c r="W132" s="35">
        <f>IF(V132&gt;0,1,0)</f>
        <v>1</v>
      </c>
      <c r="X132" s="36">
        <v>0.13120000000000001</v>
      </c>
      <c r="Y132" s="36">
        <f>_xlfn.XLOOKUP(C132,Industry_Benchmark!$A$2:$A$82,Industry_Benchmark!$G$2:$G$82,"")</f>
        <v>0.32766498833333335</v>
      </c>
      <c r="Z132" s="59">
        <f>X132-Y132</f>
        <v>-0.19646498833333334</v>
      </c>
      <c r="AA132" s="35">
        <f>IF(Z132&gt;0,1,0)</f>
        <v>0</v>
      </c>
      <c r="AB132" s="60">
        <f>SUM(G132,K132,O132,S132,W132,AA132)</f>
        <v>2</v>
      </c>
      <c r="AC132" s="61">
        <f>AB132/6</f>
        <v>0.33333333333333331</v>
      </c>
      <c r="AD132" s="62" t="str" cm="1">
        <f t="array" ref="AD132">_xlfn.IFS(
AB132=6,"Excellent",
AB132=5,"Strong",
AB132=4,"Good",
AB132=3,"Average",
AB132&lt;=2,"Weak"
)</f>
        <v>Weak</v>
      </c>
    </row>
    <row r="133" spans="1:30" x14ac:dyDescent="0.3">
      <c r="A133" s="12" t="s">
        <v>480</v>
      </c>
      <c r="B133" s="10" t="s">
        <v>481</v>
      </c>
      <c r="C133" s="10" t="s">
        <v>479</v>
      </c>
      <c r="D133" s="36">
        <v>0.11464000000000001</v>
      </c>
      <c r="E133" s="36">
        <f>_xlfn.XLOOKUP(C133,Industry_Benchmark!$A$2:$A$82,Industry_Benchmark!$B$2:$B$82,"")</f>
        <v>0.10838500000000001</v>
      </c>
      <c r="F133" s="36">
        <f>D133-E133</f>
        <v>6.2549999999999967E-3</v>
      </c>
      <c r="G133" s="37">
        <f>IF(F133&gt;0,1,0)</f>
        <v>1</v>
      </c>
      <c r="H133" s="36">
        <v>0.31</v>
      </c>
      <c r="I133" s="36">
        <f>_xlfn.XLOOKUP(C133,Industry_Benchmark!$A$2:$A$82,Industry_Benchmark!$C$2:$C$82,"")</f>
        <v>0.39500000000000002</v>
      </c>
      <c r="J133" s="36">
        <f>H133-I133</f>
        <v>-8.500000000000002E-2</v>
      </c>
      <c r="K133" s="37">
        <f>IF(J133&gt;0,1,0)</f>
        <v>0</v>
      </c>
      <c r="L133" s="35">
        <v>0.46100000000000002</v>
      </c>
      <c r="M133" s="35">
        <f>_xlfn.XLOOKUP(C133,Industry_Benchmark!$A$2:$A$82,Industry_Benchmark!$D$2:$D$82,"")</f>
        <v>0.52249999999999996</v>
      </c>
      <c r="N133" s="35">
        <f>L133-M133</f>
        <v>-6.1499999999999944E-2</v>
      </c>
      <c r="O133" s="35">
        <f>IF(N133&gt;0,1,0)</f>
        <v>0</v>
      </c>
      <c r="P133" s="36">
        <v>3.9600000000000003E-2</v>
      </c>
      <c r="Q133" s="36">
        <f>_xlfn.XLOOKUP(C133,Industry_Benchmark!$A$2:$A$82,Industry_Benchmark!$E$2:$E$82,"")</f>
        <v>3.6405001000000006E-2</v>
      </c>
      <c r="R133" s="36">
        <f>P133-Q133</f>
        <v>3.194998999999997E-3</v>
      </c>
      <c r="S133" s="37">
        <f>IF(R133&gt;0,1,0)</f>
        <v>1</v>
      </c>
      <c r="T133" s="35">
        <v>103.76</v>
      </c>
      <c r="U133" s="35">
        <f>_xlfn.XLOOKUP(C133,Industry_Benchmark!$A$2:$A$82,Industry_Benchmark!$F$2:$F$82,"")</f>
        <v>132.209</v>
      </c>
      <c r="V133" s="35">
        <f>T133-U133</f>
        <v>-28.448999999999998</v>
      </c>
      <c r="W133" s="35">
        <f>IF(V133&gt;0,1,0)</f>
        <v>0</v>
      </c>
      <c r="X133" s="36">
        <v>5.6539997000000002E-2</v>
      </c>
      <c r="Y133" s="36">
        <f>_xlfn.XLOOKUP(C133,Industry_Benchmark!$A$2:$A$82,Industry_Benchmark!$G$2:$G$82,"")</f>
        <v>6.5054998500000003E-2</v>
      </c>
      <c r="Z133" s="59">
        <f>X133-Y133</f>
        <v>-8.5150015000000009E-3</v>
      </c>
      <c r="AA133" s="35">
        <f>IF(Z133&gt;0,1,0)</f>
        <v>0</v>
      </c>
      <c r="AB133" s="60">
        <f>SUM(G133,K133,O133,S133,W133,AA133)</f>
        <v>2</v>
      </c>
      <c r="AC133" s="61">
        <f>AB133/6</f>
        <v>0.33333333333333331</v>
      </c>
      <c r="AD133" s="62" t="str" cm="1">
        <f t="array" ref="AD133">_xlfn.IFS(
AB133=6,"Excellent",
AB133=5,"Strong",
AB133=4,"Good",
AB133=3,"Average",
AB133&lt;=2,"Weak"
)</f>
        <v>Weak</v>
      </c>
    </row>
    <row r="134" spans="1:30" x14ac:dyDescent="0.3">
      <c r="A134" s="12" t="s">
        <v>487</v>
      </c>
      <c r="B134" s="10" t="s">
        <v>488</v>
      </c>
      <c r="C134" s="10" t="s">
        <v>108</v>
      </c>
      <c r="D134" s="36">
        <v>0.19148001000000001</v>
      </c>
      <c r="E134" s="36">
        <f>_xlfn.XLOOKUP(C134,Industry_Benchmark!$A$2:$A$82,Industry_Benchmark!$B$2:$B$82,"")</f>
        <v>0.18452167</v>
      </c>
      <c r="F134" s="36">
        <f>D134-E134</f>
        <v>6.9583400000000073E-3</v>
      </c>
      <c r="G134" s="37">
        <f>IF(F134&gt;0,1,0)</f>
        <v>1</v>
      </c>
      <c r="H134" s="36">
        <v>0.11899999999999999</v>
      </c>
      <c r="I134" s="36">
        <f>_xlfn.XLOOKUP(C134,Industry_Benchmark!$A$2:$A$82,Industry_Benchmark!$C$2:$C$82,"")</f>
        <v>0.17683333333333331</v>
      </c>
      <c r="J134" s="36">
        <f>H134-I134</f>
        <v>-5.783333333333332E-2</v>
      </c>
      <c r="K134" s="37">
        <f>IF(J134&gt;0,1,0)</f>
        <v>0</v>
      </c>
      <c r="L134" s="35">
        <v>2.2240000000000002</v>
      </c>
      <c r="M134" s="35">
        <f>_xlfn.XLOOKUP(C134,Industry_Benchmark!$A$2:$A$82,Industry_Benchmark!$D$2:$D$82,"")</f>
        <v>1.6713333333333333</v>
      </c>
      <c r="N134" s="35">
        <f>L134-M134</f>
        <v>0.55266666666666686</v>
      </c>
      <c r="O134" s="35">
        <f>IF(N134&gt;0,1,0)</f>
        <v>1</v>
      </c>
      <c r="P134" s="36">
        <v>8.6319999999999994E-2</v>
      </c>
      <c r="Q134" s="36">
        <f>_xlfn.XLOOKUP(C134,Industry_Benchmark!$A$2:$A$82,Industry_Benchmark!$E$2:$E$82,"")</f>
        <v>9.1146667000000001E-2</v>
      </c>
      <c r="R134" s="36">
        <f>P134-Q134</f>
        <v>-4.8266670000000067E-3</v>
      </c>
      <c r="S134" s="37">
        <f>IF(R134&gt;0,1,0)</f>
        <v>0</v>
      </c>
      <c r="T134" s="35">
        <v>54.017000000000003</v>
      </c>
      <c r="U134" s="35">
        <f>_xlfn.XLOOKUP(C134,Industry_Benchmark!$A$2:$A$82,Industry_Benchmark!$F$2:$F$82,"")</f>
        <v>96.502166666666668</v>
      </c>
      <c r="V134" s="35">
        <f>T134-U134</f>
        <v>-42.485166666666665</v>
      </c>
      <c r="W134" s="35">
        <f>IF(V134&gt;0,1,0)</f>
        <v>0</v>
      </c>
      <c r="X134" s="36">
        <v>0.23582001</v>
      </c>
      <c r="Y134" s="36">
        <f>_xlfn.XLOOKUP(C134,Industry_Benchmark!$A$2:$A$82,Industry_Benchmark!$G$2:$G$82,"")</f>
        <v>0.32766498833333335</v>
      </c>
      <c r="Z134" s="59">
        <f>X134-Y134</f>
        <v>-9.1844978333333355E-2</v>
      </c>
      <c r="AA134" s="35">
        <f>IF(Z134&gt;0,1,0)</f>
        <v>0</v>
      </c>
      <c r="AB134" s="60">
        <f>SUM(G134,K134,O134,S134,W134,AA134)</f>
        <v>2</v>
      </c>
      <c r="AC134" s="61">
        <f>AB134/6</f>
        <v>0.33333333333333331</v>
      </c>
      <c r="AD134" s="62" t="str" cm="1">
        <f t="array" ref="AD134">_xlfn.IFS(
AB134=6,"Excellent",
AB134=5,"Strong",
AB134=4,"Good",
AB134=3,"Average",
AB134&lt;=2,"Weak"
)</f>
        <v>Weak</v>
      </c>
    </row>
    <row r="135" spans="1:30" x14ac:dyDescent="0.3">
      <c r="A135" s="12" t="s">
        <v>496</v>
      </c>
      <c r="B135" s="10" t="s">
        <v>497</v>
      </c>
      <c r="C135" s="10" t="s">
        <v>74</v>
      </c>
      <c r="D135" s="36">
        <v>9.3310006000000001E-2</v>
      </c>
      <c r="E135" s="36">
        <f>_xlfn.XLOOKUP(C135,Industry_Benchmark!$A$2:$A$82,Industry_Benchmark!$B$2:$B$82,"")</f>
        <v>0.14528250400000001</v>
      </c>
      <c r="F135" s="36">
        <f>D135-E135</f>
        <v>-5.1972498000000006E-2</v>
      </c>
      <c r="G135" s="37">
        <f>IF(F135&gt;0,1,0)</f>
        <v>0</v>
      </c>
      <c r="H135" s="36">
        <v>2.7E-2</v>
      </c>
      <c r="I135" s="36">
        <f>_xlfn.XLOOKUP(C135,Industry_Benchmark!$A$2:$A$82,Industry_Benchmark!$C$2:$C$82,"")</f>
        <v>8.475000000000002E-2</v>
      </c>
      <c r="J135" s="36">
        <f>H135-I135</f>
        <v>-5.7750000000000024E-2</v>
      </c>
      <c r="K135" s="37">
        <f>IF(J135&gt;0,1,0)</f>
        <v>0</v>
      </c>
      <c r="L135" s="35">
        <v>0.82499999999999996</v>
      </c>
      <c r="M135" s="35">
        <f>_xlfn.XLOOKUP(C135,Industry_Benchmark!$A$2:$A$82,Industry_Benchmark!$D$2:$D$82,"")</f>
        <v>1.0912500000000001</v>
      </c>
      <c r="N135" s="35">
        <f>L135-M135</f>
        <v>-0.2662500000000001</v>
      </c>
      <c r="O135" s="35">
        <f>IF(N135&gt;0,1,0)</f>
        <v>0</v>
      </c>
      <c r="P135" s="36">
        <v>0.10050000000000001</v>
      </c>
      <c r="Q135" s="36">
        <f>_xlfn.XLOOKUP(C135,Industry_Benchmark!$A$2:$A$82,Industry_Benchmark!$E$2:$E$82,"")</f>
        <v>0.113515</v>
      </c>
      <c r="R135" s="36">
        <f>P135-Q135</f>
        <v>-1.3014999999999999E-2</v>
      </c>
      <c r="S135" s="37">
        <f>IF(R135&gt;0,1,0)</f>
        <v>0</v>
      </c>
      <c r="T135" s="35">
        <v>1237.856</v>
      </c>
      <c r="U135" s="35">
        <f>_xlfn.XLOOKUP(C135,Industry_Benchmark!$A$2:$A$82,Industry_Benchmark!$F$2:$F$82,"")</f>
        <v>560.26625000000001</v>
      </c>
      <c r="V135" s="35">
        <f>T135-U135</f>
        <v>677.58974999999998</v>
      </c>
      <c r="W135" s="35">
        <f>IF(V135&gt;0,1,0)</f>
        <v>1</v>
      </c>
      <c r="X135" s="36">
        <v>2.2963900000000002</v>
      </c>
      <c r="Y135" s="36">
        <f>_xlfn.XLOOKUP(C135,Industry_Benchmark!$A$2:$A$82,Industry_Benchmark!$G$2:$G$82,"")</f>
        <v>1.3491249999999999</v>
      </c>
      <c r="Z135" s="59">
        <f>X135-Y135</f>
        <v>0.94726500000000025</v>
      </c>
      <c r="AA135" s="35">
        <f>IF(Z135&gt;0,1,0)</f>
        <v>1</v>
      </c>
      <c r="AB135" s="60">
        <f>SUM(G135,K135,O135,S135,W135,AA135)</f>
        <v>2</v>
      </c>
      <c r="AC135" s="61">
        <f>AB135/6</f>
        <v>0.33333333333333331</v>
      </c>
      <c r="AD135" s="62" t="str" cm="1">
        <f t="array" ref="AD135">_xlfn.IFS(
AB135=6,"Excellent",
AB135=5,"Strong",
AB135=4,"Good",
AB135=3,"Average",
AB135&lt;=2,"Weak"
)</f>
        <v>Weak</v>
      </c>
    </row>
    <row r="136" spans="1:30" x14ac:dyDescent="0.3">
      <c r="A136" s="12" t="s">
        <v>502</v>
      </c>
      <c r="B136" s="10" t="s">
        <v>503</v>
      </c>
      <c r="C136" s="10" t="s">
        <v>408</v>
      </c>
      <c r="D136" s="36">
        <v>0.15076000000000001</v>
      </c>
      <c r="E136" s="36">
        <f>_xlfn.XLOOKUP(C136,Industry_Benchmark!$A$2:$A$82,Industry_Benchmark!$B$2:$B$82,"")</f>
        <v>0.154615</v>
      </c>
      <c r="F136" s="36">
        <f>D136-E136</f>
        <v>-3.8549999999999973E-3</v>
      </c>
      <c r="G136" s="37">
        <f>IF(F136&gt;0,1,0)</f>
        <v>0</v>
      </c>
      <c r="H136" s="36">
        <v>0.16300000000000001</v>
      </c>
      <c r="I136" s="36">
        <f>_xlfn.XLOOKUP(C136,Industry_Benchmark!$A$2:$A$82,Industry_Benchmark!$C$2:$C$82,"")</f>
        <v>0.124</v>
      </c>
      <c r="J136" s="36">
        <f>H136-I136</f>
        <v>3.9000000000000007E-2</v>
      </c>
      <c r="K136" s="37">
        <f>IF(J136&gt;0,1,0)</f>
        <v>1</v>
      </c>
      <c r="L136" s="35">
        <v>0.78500000000000003</v>
      </c>
      <c r="M136" s="35">
        <f>_xlfn.XLOOKUP(C136,Industry_Benchmark!$A$2:$A$82,Industry_Benchmark!$D$2:$D$82,"")</f>
        <v>0.77350000000000008</v>
      </c>
      <c r="N136" s="35">
        <f>L136-M136</f>
        <v>1.1499999999999955E-2</v>
      </c>
      <c r="O136" s="35">
        <f>IF(N136&gt;0,1,0)</f>
        <v>1</v>
      </c>
      <c r="P136" s="36">
        <v>0.13464000000000001</v>
      </c>
      <c r="Q136" s="36">
        <f>_xlfn.XLOOKUP(C136,Industry_Benchmark!$A$2:$A$82,Industry_Benchmark!$E$2:$E$82,"")</f>
        <v>0.13881500000000002</v>
      </c>
      <c r="R136" s="36">
        <f>P136-Q136</f>
        <v>-4.175000000000012E-3</v>
      </c>
      <c r="S136" s="37">
        <f>IF(R136&gt;0,1,0)</f>
        <v>0</v>
      </c>
      <c r="T136" s="35">
        <v>0</v>
      </c>
      <c r="U136" s="35">
        <f>_xlfn.XLOOKUP(C136,Industry_Benchmark!$A$2:$A$82,Industry_Benchmark!$F$2:$F$82,"")</f>
        <v>0</v>
      </c>
      <c r="V136" s="35">
        <f>T136-U136</f>
        <v>0</v>
      </c>
      <c r="W136" s="35">
        <f>IF(V136&gt;0,1,0)</f>
        <v>0</v>
      </c>
      <c r="X136" s="36"/>
      <c r="Y136" s="36">
        <f>_xlfn.XLOOKUP(C136,Industry_Benchmark!$A$2:$A$82,Industry_Benchmark!$G$2:$G$82,"")</f>
        <v>7.1736700000000004</v>
      </c>
      <c r="Z136" s="59">
        <f>X136-Y136</f>
        <v>-7.1736700000000004</v>
      </c>
      <c r="AA136" s="35">
        <f>IF(Z136&gt;0,1,0)</f>
        <v>0</v>
      </c>
      <c r="AB136" s="60">
        <f>SUM(G136,K136,O136,S136,W136,AA136)</f>
        <v>2</v>
      </c>
      <c r="AC136" s="61">
        <f>AB136/6</f>
        <v>0.33333333333333331</v>
      </c>
      <c r="AD136" s="62" t="str" cm="1">
        <f t="array" ref="AD136">_xlfn.IFS(
AB136=6,"Excellent",
AB136=5,"Strong",
AB136=4,"Good",
AB136=3,"Average",
AB136&lt;=2,"Weak"
)</f>
        <v>Weak</v>
      </c>
    </row>
    <row r="137" spans="1:30" x14ac:dyDescent="0.3">
      <c r="A137" s="12" t="s">
        <v>508</v>
      </c>
      <c r="B137" s="10" t="s">
        <v>509</v>
      </c>
      <c r="C137" s="10" t="s">
        <v>452</v>
      </c>
      <c r="D137" s="36">
        <v>0.17267999000000001</v>
      </c>
      <c r="E137" s="36">
        <f>_xlfn.XLOOKUP(C137,Industry_Benchmark!$A$2:$A$82,Industry_Benchmark!$B$2:$B$82,"")</f>
        <v>0.29133999499999996</v>
      </c>
      <c r="F137" s="36">
        <f>D137-E137</f>
        <v>-0.11866000499999996</v>
      </c>
      <c r="G137" s="37">
        <f>IF(F137&gt;0,1,0)</f>
        <v>0</v>
      </c>
      <c r="H137" s="36">
        <v>0.64100000000000001</v>
      </c>
      <c r="I137" s="36">
        <f>_xlfn.XLOOKUP(C137,Industry_Benchmark!$A$2:$A$82,Industry_Benchmark!$C$2:$C$82,"")</f>
        <v>0.43149999999999999</v>
      </c>
      <c r="J137" s="36">
        <f>H137-I137</f>
        <v>0.20950000000000002</v>
      </c>
      <c r="K137" s="37">
        <f>IF(J137&gt;0,1,0)</f>
        <v>1</v>
      </c>
      <c r="L137" s="35">
        <v>0.42799999999999999</v>
      </c>
      <c r="M137" s="35">
        <f>_xlfn.XLOOKUP(C137,Industry_Benchmark!$A$2:$A$82,Industry_Benchmark!$D$2:$D$82,"")</f>
        <v>0.41100000000000003</v>
      </c>
      <c r="N137" s="35">
        <f>L137-M137</f>
        <v>1.699999999999996E-2</v>
      </c>
      <c r="O137" s="35">
        <f>IF(N137&gt;0,1,0)</f>
        <v>1</v>
      </c>
      <c r="P137" s="36">
        <v>1.865E-2</v>
      </c>
      <c r="Q137" s="36">
        <f>_xlfn.XLOOKUP(C137,Industry_Benchmark!$A$2:$A$82,Industry_Benchmark!$E$2:$E$82,"")</f>
        <v>3.1074999999999998E-2</v>
      </c>
      <c r="R137" s="36">
        <f>P137-Q137</f>
        <v>-1.2424999999999999E-2</v>
      </c>
      <c r="S137" s="37">
        <f>IF(R137&gt;0,1,0)</f>
        <v>0</v>
      </c>
      <c r="T137" s="35">
        <v>61.451999999999998</v>
      </c>
      <c r="U137" s="35">
        <f>_xlfn.XLOOKUP(C137,Industry_Benchmark!$A$2:$A$82,Industry_Benchmark!$F$2:$F$82,"")</f>
        <v>325.38600000000002</v>
      </c>
      <c r="V137" s="35">
        <f>T137-U137</f>
        <v>-263.93400000000003</v>
      </c>
      <c r="W137" s="35">
        <f>IF(V137&gt;0,1,0)</f>
        <v>0</v>
      </c>
      <c r="X137" s="36">
        <v>1.9960001000000002E-2</v>
      </c>
      <c r="Y137" s="36">
        <f>_xlfn.XLOOKUP(C137,Industry_Benchmark!$A$2:$A$82,Industry_Benchmark!$G$2:$G$82,"")</f>
        <v>0.3579899755</v>
      </c>
      <c r="Z137" s="59">
        <f>X137-Y137</f>
        <v>-0.3380299745</v>
      </c>
      <c r="AA137" s="35">
        <f>IF(Z137&gt;0,1,0)</f>
        <v>0</v>
      </c>
      <c r="AB137" s="60">
        <f>SUM(G137,K137,O137,S137,W137,AA137)</f>
        <v>2</v>
      </c>
      <c r="AC137" s="61">
        <f>AB137/6</f>
        <v>0.33333333333333331</v>
      </c>
      <c r="AD137" s="62" t="str" cm="1">
        <f t="array" ref="AD137">_xlfn.IFS(
AB137=6,"Excellent",
AB137=5,"Strong",
AB137=4,"Good",
AB137=3,"Average",
AB137&lt;=2,"Weak"
)</f>
        <v>Weak</v>
      </c>
    </row>
    <row r="138" spans="1:30" x14ac:dyDescent="0.3">
      <c r="A138" s="12" t="s">
        <v>515</v>
      </c>
      <c r="B138" s="10" t="s">
        <v>516</v>
      </c>
      <c r="C138" s="10" t="s">
        <v>158</v>
      </c>
      <c r="D138" s="36">
        <v>0.29224001999999999</v>
      </c>
      <c r="E138" s="36">
        <f>_xlfn.XLOOKUP(C138,Industry_Benchmark!$A$2:$A$82,Industry_Benchmark!$B$2:$B$82,"")</f>
        <v>0.15536000333333333</v>
      </c>
      <c r="F138" s="36">
        <f>D138-E138</f>
        <v>0.13688001666666666</v>
      </c>
      <c r="G138" s="37">
        <f>IF(F138&gt;0,1,0)</f>
        <v>1</v>
      </c>
      <c r="H138" s="36">
        <v>0.17699999999999999</v>
      </c>
      <c r="I138" s="36">
        <f>_xlfn.XLOOKUP(C138,Industry_Benchmark!$A$2:$A$82,Industry_Benchmark!$C$2:$C$82,"")</f>
        <v>0.21066666666666664</v>
      </c>
      <c r="J138" s="36">
        <f>H138-I138</f>
        <v>-3.366666666666665E-2</v>
      </c>
      <c r="K138" s="37">
        <f>IF(J138&gt;0,1,0)</f>
        <v>0</v>
      </c>
      <c r="L138" s="35">
        <v>2.0129999999999999</v>
      </c>
      <c r="M138" s="35">
        <f>_xlfn.XLOOKUP(C138,Industry_Benchmark!$A$2:$A$82,Industry_Benchmark!$D$2:$D$82,"")</f>
        <v>1.6655</v>
      </c>
      <c r="N138" s="35">
        <f>L138-M138</f>
        <v>0.34749999999999992</v>
      </c>
      <c r="O138" s="35">
        <f>IF(N138&gt;0,1,0)</f>
        <v>1</v>
      </c>
      <c r="P138" s="36">
        <v>2.6530001000000001E-2</v>
      </c>
      <c r="Q138" s="36">
        <f>_xlfn.XLOOKUP(C138,Industry_Benchmark!$A$2:$A$82,Industry_Benchmark!$E$2:$E$82,"")</f>
        <v>6.7101666833333337E-2</v>
      </c>
      <c r="R138" s="36">
        <f>P138-Q138</f>
        <v>-4.057166583333334E-2</v>
      </c>
      <c r="S138" s="37">
        <f>IF(R138&gt;0,1,0)</f>
        <v>0</v>
      </c>
      <c r="T138" s="35">
        <v>40.603000000000002</v>
      </c>
      <c r="U138" s="35">
        <f>_xlfn.XLOOKUP(C138,Industry_Benchmark!$A$2:$A$82,Industry_Benchmark!$F$2:$F$82,"")</f>
        <v>123.15566666666665</v>
      </c>
      <c r="V138" s="35">
        <f>T138-U138</f>
        <v>-82.552666666666653</v>
      </c>
      <c r="W138" s="35">
        <f>IF(V138&gt;0,1,0)</f>
        <v>0</v>
      </c>
      <c r="X138" s="36">
        <v>4.6420000000000003E-2</v>
      </c>
      <c r="Y138" s="36">
        <f>_xlfn.XLOOKUP(C138,Industry_Benchmark!$A$2:$A$82,Industry_Benchmark!$G$2:$G$82,"")</f>
        <v>0.26484833499999999</v>
      </c>
      <c r="Z138" s="59">
        <f>X138-Y138</f>
        <v>-0.21842833499999997</v>
      </c>
      <c r="AA138" s="35">
        <f>IF(Z138&gt;0,1,0)</f>
        <v>0</v>
      </c>
      <c r="AB138" s="60">
        <f>SUM(G138,K138,O138,S138,W138,AA138)</f>
        <v>2</v>
      </c>
      <c r="AC138" s="61">
        <f>AB138/6</f>
        <v>0.33333333333333331</v>
      </c>
      <c r="AD138" s="62" t="str" cm="1">
        <f t="array" ref="AD138">_xlfn.IFS(
AB138=6,"Excellent",
AB138=5,"Strong",
AB138=4,"Good",
AB138=3,"Average",
AB138&lt;=2,"Weak"
)</f>
        <v>Weak</v>
      </c>
    </row>
    <row r="139" spans="1:30" x14ac:dyDescent="0.3">
      <c r="A139" s="12" t="s">
        <v>522</v>
      </c>
      <c r="B139" s="10" t="s">
        <v>523</v>
      </c>
      <c r="C139" s="10" t="s">
        <v>105</v>
      </c>
      <c r="D139" s="36">
        <v>0.15459999999999999</v>
      </c>
      <c r="E139" s="36">
        <f>_xlfn.XLOOKUP(C139,Industry_Benchmark!$A$2:$A$82,Industry_Benchmark!$B$2:$B$82,"")</f>
        <v>0.1895</v>
      </c>
      <c r="F139" s="36">
        <f>D139-E139</f>
        <v>-3.4900000000000014E-2</v>
      </c>
      <c r="G139" s="37">
        <f>IF(F139&gt;0,1,0)</f>
        <v>0</v>
      </c>
      <c r="H139" s="36">
        <v>0.128</v>
      </c>
      <c r="I139" s="36">
        <f>_xlfn.XLOOKUP(C139,Industry_Benchmark!$A$2:$A$82,Industry_Benchmark!$C$2:$C$82,"")</f>
        <v>0.10450000000000001</v>
      </c>
      <c r="J139" s="36">
        <f>H139-I139</f>
        <v>2.3499999999999993E-2</v>
      </c>
      <c r="K139" s="37">
        <f>IF(J139&gt;0,1,0)</f>
        <v>1</v>
      </c>
      <c r="L139" s="35">
        <v>1.381</v>
      </c>
      <c r="M139" s="35">
        <f>_xlfn.XLOOKUP(C139,Industry_Benchmark!$A$2:$A$82,Industry_Benchmark!$D$2:$D$82,"")</f>
        <v>1.4995000000000001</v>
      </c>
      <c r="N139" s="35">
        <f>L139-M139</f>
        <v>-0.11850000000000005</v>
      </c>
      <c r="O139" s="35">
        <f>IF(N139&gt;0,1,0)</f>
        <v>0</v>
      </c>
      <c r="P139" s="36">
        <v>0.10668000599999999</v>
      </c>
      <c r="Q139" s="36">
        <f>_xlfn.XLOOKUP(C139,Industry_Benchmark!$A$2:$A$82,Industry_Benchmark!$E$2:$E$82,"")</f>
        <v>9.932000299999999E-2</v>
      </c>
      <c r="R139" s="36">
        <f>P139-Q139</f>
        <v>7.3600030000000038E-3</v>
      </c>
      <c r="S139" s="37">
        <f>IF(R139&gt;0,1,0)</f>
        <v>1</v>
      </c>
      <c r="T139" s="35">
        <v>0</v>
      </c>
      <c r="U139" s="35">
        <f>_xlfn.XLOOKUP(C139,Industry_Benchmark!$A$2:$A$82,Industry_Benchmark!$F$2:$F$82,"")</f>
        <v>12.516</v>
      </c>
      <c r="V139" s="35">
        <f>T139-U139</f>
        <v>-12.516</v>
      </c>
      <c r="W139" s="35">
        <f>IF(V139&gt;0,1,0)</f>
        <v>0</v>
      </c>
      <c r="X139" s="36"/>
      <c r="Y139" s="36">
        <f>_xlfn.XLOOKUP(C139,Industry_Benchmark!$A$2:$A$82,Industry_Benchmark!$G$2:$G$82,"")</f>
        <v>0.28190001999999997</v>
      </c>
      <c r="Z139" s="59">
        <f>X139-Y139</f>
        <v>-0.28190001999999997</v>
      </c>
      <c r="AA139" s="35">
        <f>IF(Z139&gt;0,1,0)</f>
        <v>0</v>
      </c>
      <c r="AB139" s="60">
        <f>SUM(G139,K139,O139,S139,W139,AA139)</f>
        <v>2</v>
      </c>
      <c r="AC139" s="61">
        <f>AB139/6</f>
        <v>0.33333333333333331</v>
      </c>
      <c r="AD139" s="62" t="str" cm="1">
        <f t="array" ref="AD139">_xlfn.IFS(
AB139=6,"Excellent",
AB139=5,"Strong",
AB139=4,"Good",
AB139=3,"Average",
AB139&lt;=2,"Weak"
)</f>
        <v>Weak</v>
      </c>
    </row>
    <row r="140" spans="1:30" x14ac:dyDescent="0.3">
      <c r="A140" s="12" t="s">
        <v>537</v>
      </c>
      <c r="B140" s="10" t="s">
        <v>538</v>
      </c>
      <c r="C140" s="10" t="s">
        <v>223</v>
      </c>
      <c r="D140" s="36">
        <v>9.8229999999999998E-2</v>
      </c>
      <c r="E140" s="36">
        <f>_xlfn.XLOOKUP(C140,Industry_Benchmark!$A$2:$A$82,Industry_Benchmark!$B$2:$B$82,"")</f>
        <v>0.12041000057142859</v>
      </c>
      <c r="F140" s="36">
        <f>D140-E140</f>
        <v>-2.218000057142859E-2</v>
      </c>
      <c r="G140" s="37">
        <f>IF(F140&gt;0,1,0)</f>
        <v>0</v>
      </c>
      <c r="H140" s="36">
        <v>6.4000000000000001E-2</v>
      </c>
      <c r="I140" s="36">
        <f>_xlfn.XLOOKUP(C140,Industry_Benchmark!$A$2:$A$82,Industry_Benchmark!$C$2:$C$82,"")</f>
        <v>7.0857142857142855E-2</v>
      </c>
      <c r="J140" s="36">
        <f>H140-I140</f>
        <v>-6.8571428571428533E-3</v>
      </c>
      <c r="K140" s="37">
        <f>IF(J140&gt;0,1,0)</f>
        <v>0</v>
      </c>
      <c r="L140" s="35">
        <v>1.621</v>
      </c>
      <c r="M140" s="35">
        <f>_xlfn.XLOOKUP(C140,Industry_Benchmark!$A$2:$A$82,Industry_Benchmark!$D$2:$D$82,"")</f>
        <v>1.4689999999999999</v>
      </c>
      <c r="N140" s="35">
        <f>L140-M140</f>
        <v>0.15200000000000014</v>
      </c>
      <c r="O140" s="35">
        <f>IF(N140&gt;0,1,0)</f>
        <v>1</v>
      </c>
      <c r="P140" s="36">
        <v>6.8849999999999995E-2</v>
      </c>
      <c r="Q140" s="36">
        <f>_xlfn.XLOOKUP(C140,Industry_Benchmark!$A$2:$A$82,Industry_Benchmark!$E$2:$E$82,"")</f>
        <v>6.6908572285714271E-2</v>
      </c>
      <c r="R140" s="36">
        <f>P140-Q140</f>
        <v>1.9414277142857234E-3</v>
      </c>
      <c r="S140" s="37">
        <f>IF(R140&gt;0,1,0)</f>
        <v>1</v>
      </c>
      <c r="T140" s="35">
        <v>74.62</v>
      </c>
      <c r="U140" s="35">
        <f>_xlfn.XLOOKUP(C140,Industry_Benchmark!$A$2:$A$82,Industry_Benchmark!$F$2:$F$82,"")</f>
        <v>107.70214285714285</v>
      </c>
      <c r="V140" s="35">
        <f>T140-U140</f>
        <v>-33.082142857142841</v>
      </c>
      <c r="W140" s="35">
        <f>IF(V140&gt;0,1,0)</f>
        <v>0</v>
      </c>
      <c r="X140" s="36">
        <v>0.21420998999999999</v>
      </c>
      <c r="Y140" s="36">
        <f>_xlfn.XLOOKUP(C140,Industry_Benchmark!$A$2:$A$82,Industry_Benchmark!$G$2:$G$82,"")</f>
        <v>0.26455856971428571</v>
      </c>
      <c r="Z140" s="59">
        <f>X140-Y140</f>
        <v>-5.0348579714285718E-2</v>
      </c>
      <c r="AA140" s="35">
        <f>IF(Z140&gt;0,1,0)</f>
        <v>0</v>
      </c>
      <c r="AB140" s="60">
        <f>SUM(G140,K140,O140,S140,W140,AA140)</f>
        <v>2</v>
      </c>
      <c r="AC140" s="61">
        <f>AB140/6</f>
        <v>0.33333333333333331</v>
      </c>
      <c r="AD140" s="62" t="str" cm="1">
        <f t="array" ref="AD140">_xlfn.IFS(
AB140=6,"Excellent",
AB140=5,"Strong",
AB140=4,"Good",
AB140=3,"Average",
AB140&lt;=2,"Weak"
)</f>
        <v>Weak</v>
      </c>
    </row>
    <row r="141" spans="1:30" x14ac:dyDescent="0.3">
      <c r="A141" s="12" t="s">
        <v>541</v>
      </c>
      <c r="B141" s="10" t="s">
        <v>542</v>
      </c>
      <c r="C141" s="10" t="s">
        <v>332</v>
      </c>
      <c r="D141" s="36">
        <v>0.122729994</v>
      </c>
      <c r="E141" s="36">
        <f>_xlfn.XLOOKUP(C141,Industry_Benchmark!$A$2:$A$82,Industry_Benchmark!$B$2:$B$82,"")</f>
        <v>0.20740999700000001</v>
      </c>
      <c r="F141" s="36">
        <f>D141-E141</f>
        <v>-8.4680003000000018E-2</v>
      </c>
      <c r="G141" s="37">
        <f>IF(F141&gt;0,1,0)</f>
        <v>0</v>
      </c>
      <c r="H141" s="36">
        <v>0.58599999999999997</v>
      </c>
      <c r="I141" s="36">
        <f>_xlfn.XLOOKUP(C141,Industry_Benchmark!$A$2:$A$82,Industry_Benchmark!$C$2:$C$82,"")</f>
        <v>0.32250000000000001</v>
      </c>
      <c r="J141" s="36">
        <f>H141-I141</f>
        <v>0.26349999999999996</v>
      </c>
      <c r="K141" s="37">
        <f>IF(J141&gt;0,1,0)</f>
        <v>1</v>
      </c>
      <c r="L141" s="35">
        <v>1.3149999999999999</v>
      </c>
      <c r="M141" s="35">
        <f>_xlfn.XLOOKUP(C141,Industry_Benchmark!$A$2:$A$82,Industry_Benchmark!$D$2:$D$82,"")</f>
        <v>3.4379999999999997</v>
      </c>
      <c r="N141" s="35">
        <f>L141-M141</f>
        <v>-2.1229999999999998</v>
      </c>
      <c r="O141" s="35">
        <f>IF(N141&gt;0,1,0)</f>
        <v>0</v>
      </c>
      <c r="P141" s="36">
        <v>5.7119999999999997E-2</v>
      </c>
      <c r="Q141" s="36">
        <f>_xlfn.XLOOKUP(C141,Industry_Benchmark!$A$2:$A$82,Industry_Benchmark!$E$2:$E$82,"")</f>
        <v>7.3480000000000004E-2</v>
      </c>
      <c r="R141" s="36">
        <f>P141-Q141</f>
        <v>-1.6360000000000006E-2</v>
      </c>
      <c r="S141" s="37">
        <f>IF(R141&gt;0,1,0)</f>
        <v>0</v>
      </c>
      <c r="T141" s="35">
        <v>27.94</v>
      </c>
      <c r="U141" s="35">
        <f>_xlfn.XLOOKUP(C141,Industry_Benchmark!$A$2:$A$82,Industry_Benchmark!$F$2:$F$82,"")</f>
        <v>24.61</v>
      </c>
      <c r="V141" s="35">
        <f>T141-U141</f>
        <v>3.3300000000000018</v>
      </c>
      <c r="W141" s="35">
        <f>IF(V141&gt;0,1,0)</f>
        <v>1</v>
      </c>
      <c r="X141" s="36">
        <v>9.8549990000000004E-2</v>
      </c>
      <c r="Y141" s="36">
        <f>_xlfn.XLOOKUP(C141,Industry_Benchmark!$A$2:$A$82,Industry_Benchmark!$G$2:$G$82,"")</f>
        <v>0.133660005</v>
      </c>
      <c r="Z141" s="59">
        <f>X141-Y141</f>
        <v>-3.5110014999999994E-2</v>
      </c>
      <c r="AA141" s="35">
        <f>IF(Z141&gt;0,1,0)</f>
        <v>0</v>
      </c>
      <c r="AB141" s="60">
        <f>SUM(G141,K141,O141,S141,W141,AA141)</f>
        <v>2</v>
      </c>
      <c r="AC141" s="61">
        <f>AB141/6</f>
        <v>0.33333333333333331</v>
      </c>
      <c r="AD141" s="62" t="str" cm="1">
        <f t="array" ref="AD141">_xlfn.IFS(
AB141=6,"Excellent",
AB141=5,"Strong",
AB141=4,"Good",
AB141=3,"Average",
AB141&lt;=2,"Weak"
)</f>
        <v>Weak</v>
      </c>
    </row>
    <row r="142" spans="1:30" x14ac:dyDescent="0.3">
      <c r="A142" s="12" t="s">
        <v>553</v>
      </c>
      <c r="B142" s="10" t="s">
        <v>554</v>
      </c>
      <c r="C142" s="10" t="s">
        <v>141</v>
      </c>
      <c r="D142" s="36">
        <v>0.23922001000000001</v>
      </c>
      <c r="E142" s="36">
        <f>_xlfn.XLOOKUP(C142,Industry_Benchmark!$A$2:$A$82,Industry_Benchmark!$B$2:$B$82,"")</f>
        <v>0.19883250750000001</v>
      </c>
      <c r="F142" s="36">
        <f>D142-E142</f>
        <v>4.0387502500000005E-2</v>
      </c>
      <c r="G142" s="37">
        <f>IF(F142&gt;0,1,0)</f>
        <v>1</v>
      </c>
      <c r="H142" s="36">
        <v>8.4000000000000005E-2</v>
      </c>
      <c r="I142" s="36">
        <f>_xlfn.XLOOKUP(C142,Industry_Benchmark!$A$2:$A$82,Industry_Benchmark!$C$2:$C$82,"")</f>
        <v>0.157</v>
      </c>
      <c r="J142" s="36">
        <f>H142-I142</f>
        <v>-7.2999999999999995E-2</v>
      </c>
      <c r="K142" s="37">
        <f>IF(J142&gt;0,1,0)</f>
        <v>0</v>
      </c>
      <c r="L142" s="35">
        <v>1.083</v>
      </c>
      <c r="M142" s="35">
        <f>_xlfn.XLOOKUP(C142,Industry_Benchmark!$A$2:$A$82,Industry_Benchmark!$D$2:$D$82,"")</f>
        <v>1.3137500000000002</v>
      </c>
      <c r="N142" s="35">
        <f>L142-M142</f>
        <v>-0.23075000000000023</v>
      </c>
      <c r="O142" s="35">
        <f>IF(N142&gt;0,1,0)</f>
        <v>0</v>
      </c>
      <c r="P142" s="36">
        <v>0.22603000000000001</v>
      </c>
      <c r="Q142" s="36">
        <f>_xlfn.XLOOKUP(C142,Industry_Benchmark!$A$2:$A$82,Industry_Benchmark!$E$2:$E$82,"")</f>
        <v>0.13219250124999998</v>
      </c>
      <c r="R142" s="36">
        <f>P142-Q142</f>
        <v>9.3837498750000026E-2</v>
      </c>
      <c r="S142" s="37">
        <f>IF(R142&gt;0,1,0)</f>
        <v>1</v>
      </c>
      <c r="T142" s="35">
        <v>0</v>
      </c>
      <c r="U142" s="35">
        <f>_xlfn.XLOOKUP(C142,Industry_Benchmark!$A$2:$A$82,Industry_Benchmark!$F$2:$F$82,"")</f>
        <v>38.308</v>
      </c>
      <c r="V142" s="35">
        <f>T142-U142</f>
        <v>-38.308</v>
      </c>
      <c r="W142" s="35">
        <f>IF(V142&gt;0,1,0)</f>
        <v>0</v>
      </c>
      <c r="X142" s="36"/>
      <c r="Y142" s="36">
        <f>_xlfn.XLOOKUP(C142,Industry_Benchmark!$A$2:$A$82,Industry_Benchmark!$G$2:$G$82,"")</f>
        <v>0.30247997999999998</v>
      </c>
      <c r="Z142" s="59">
        <f>X142-Y142</f>
        <v>-0.30247997999999998</v>
      </c>
      <c r="AA142" s="35">
        <f>IF(Z142&gt;0,1,0)</f>
        <v>0</v>
      </c>
      <c r="AB142" s="60">
        <f>SUM(G142,K142,O142,S142,W142,AA142)</f>
        <v>2</v>
      </c>
      <c r="AC142" s="61">
        <f>AB142/6</f>
        <v>0.33333333333333331</v>
      </c>
      <c r="AD142" s="62" t="str" cm="1">
        <f t="array" ref="AD142">_xlfn.IFS(
AB142=6,"Excellent",
AB142=5,"Strong",
AB142=4,"Good",
AB142=3,"Average",
AB142&lt;=2,"Weak"
)</f>
        <v>Weak</v>
      </c>
    </row>
    <row r="143" spans="1:30" x14ac:dyDescent="0.3">
      <c r="A143" s="12" t="s">
        <v>562</v>
      </c>
      <c r="B143" s="10" t="s">
        <v>563</v>
      </c>
      <c r="C143" s="10" t="s">
        <v>381</v>
      </c>
      <c r="D143" s="36">
        <v>-7.2999999999999995E-2</v>
      </c>
      <c r="E143" s="36">
        <f>_xlfn.XLOOKUP(C143,Industry_Benchmark!$A$2:$A$82,Industry_Benchmark!$B$2:$B$82,"")</f>
        <v>2.3503334666666667E-2</v>
      </c>
      <c r="F143" s="36">
        <f>D143-E143</f>
        <v>-9.6503334666666662E-2</v>
      </c>
      <c r="G143" s="37">
        <f>IF(F143&gt;0,1,0)</f>
        <v>0</v>
      </c>
      <c r="H143" s="36">
        <v>-0.19700000000000001</v>
      </c>
      <c r="I143" s="36">
        <f>_xlfn.XLOOKUP(C143,Industry_Benchmark!$A$2:$A$82,Industry_Benchmark!$C$2:$C$82,"")</f>
        <v>-1.6999999999999998E-2</v>
      </c>
      <c r="J143" s="36">
        <f>H143-I143</f>
        <v>-0.18000000000000002</v>
      </c>
      <c r="K143" s="37">
        <f>IF(J143&gt;0,1,0)</f>
        <v>0</v>
      </c>
      <c r="L143" s="35">
        <v>0.84099999999999997</v>
      </c>
      <c r="M143" s="35">
        <f>_xlfn.XLOOKUP(C143,Industry_Benchmark!$A$2:$A$82,Industry_Benchmark!$D$2:$D$82,"")</f>
        <v>0.71200000000000008</v>
      </c>
      <c r="N143" s="35">
        <f>L143-M143</f>
        <v>0.12899999999999989</v>
      </c>
      <c r="O143" s="35">
        <f>IF(N143&gt;0,1,0)</f>
        <v>1</v>
      </c>
      <c r="P143" s="36">
        <v>2.034E-2</v>
      </c>
      <c r="Q143" s="36">
        <f>_xlfn.XLOOKUP(C143,Industry_Benchmark!$A$2:$A$82,Industry_Benchmark!$E$2:$E$82,"")</f>
        <v>2.2789999333333335E-2</v>
      </c>
      <c r="R143" s="36">
        <f>P143-Q143</f>
        <v>-2.4499993333333345E-3</v>
      </c>
      <c r="S143" s="37">
        <f>IF(R143&gt;0,1,0)</f>
        <v>0</v>
      </c>
      <c r="T143" s="35">
        <v>141.98599999999999</v>
      </c>
      <c r="U143" s="35">
        <f>_xlfn.XLOOKUP(C143,Industry_Benchmark!$A$2:$A$82,Industry_Benchmark!$F$2:$F$82,"")</f>
        <v>123.89433333333334</v>
      </c>
      <c r="V143" s="35">
        <f>T143-U143</f>
        <v>18.091666666666654</v>
      </c>
      <c r="W143" s="35">
        <f>IF(V143&gt;0,1,0)</f>
        <v>1</v>
      </c>
      <c r="X143" s="36">
        <v>-4.4269999999999997E-2</v>
      </c>
      <c r="Y143" s="36">
        <f>_xlfn.XLOOKUP(C143,Industry_Benchmark!$A$2:$A$82,Industry_Benchmark!$G$2:$G$82,"")</f>
        <v>1.920666666666667E-2</v>
      </c>
      <c r="Z143" s="59">
        <f>X143-Y143</f>
        <v>-6.3476666666666667E-2</v>
      </c>
      <c r="AA143" s="35">
        <f>IF(Z143&gt;0,1,0)</f>
        <v>0</v>
      </c>
      <c r="AB143" s="60">
        <f>SUM(G143,K143,O143,S143,W143,AA143)</f>
        <v>2</v>
      </c>
      <c r="AC143" s="61">
        <f>AB143/6</f>
        <v>0.33333333333333331</v>
      </c>
      <c r="AD143" s="62" t="str" cm="1">
        <f t="array" ref="AD143">_xlfn.IFS(
AB143=6,"Excellent",
AB143=5,"Strong",
AB143=4,"Good",
AB143=3,"Average",
AB143&lt;=2,"Weak"
)</f>
        <v>Weak</v>
      </c>
    </row>
    <row r="144" spans="1:30" x14ac:dyDescent="0.3">
      <c r="A144" s="12" t="s">
        <v>564</v>
      </c>
      <c r="B144" s="10" t="s">
        <v>565</v>
      </c>
      <c r="C144" s="10" t="s">
        <v>213</v>
      </c>
      <c r="D144" s="36">
        <v>0.40183996999999999</v>
      </c>
      <c r="E144" s="36">
        <f>_xlfn.XLOOKUP(C144,Industry_Benchmark!$A$2:$A$82,Industry_Benchmark!$B$2:$B$82,"")</f>
        <v>0.30562332333333336</v>
      </c>
      <c r="F144" s="36">
        <f>D144-E144</f>
        <v>9.6216646666666628E-2</v>
      </c>
      <c r="G144" s="37">
        <f>IF(F144&gt;0,1,0)</f>
        <v>1</v>
      </c>
      <c r="H144" s="36">
        <v>0.13200000000000001</v>
      </c>
      <c r="I144" s="36">
        <f>_xlfn.XLOOKUP(C144,Industry_Benchmark!$A$2:$A$82,Industry_Benchmark!$C$2:$C$82,"")</f>
        <v>0.156</v>
      </c>
      <c r="J144" s="36">
        <f>H144-I144</f>
        <v>-2.3999999999999994E-2</v>
      </c>
      <c r="K144" s="37">
        <f>IF(J144&gt;0,1,0)</f>
        <v>0</v>
      </c>
      <c r="L144" s="35">
        <v>1.569</v>
      </c>
      <c r="M144" s="35">
        <f>_xlfn.XLOOKUP(C144,Industry_Benchmark!$A$2:$A$82,Industry_Benchmark!$D$2:$D$82,"")</f>
        <v>2.0716666666666668</v>
      </c>
      <c r="N144" s="35">
        <f>L144-M144</f>
        <v>-0.50266666666666682</v>
      </c>
      <c r="O144" s="35">
        <f>IF(N144&gt;0,1,0)</f>
        <v>0</v>
      </c>
      <c r="P144" s="36">
        <v>0.20188998999999999</v>
      </c>
      <c r="Q144" s="36">
        <f>_xlfn.XLOOKUP(C144,Industry_Benchmark!$A$2:$A$82,Industry_Benchmark!$E$2:$E$82,"")</f>
        <v>8.1486663333333334E-2</v>
      </c>
      <c r="R144" s="36">
        <f>P144-Q144</f>
        <v>0.12040332666666666</v>
      </c>
      <c r="S144" s="37">
        <f>IF(R144&gt;0,1,0)</f>
        <v>1</v>
      </c>
      <c r="T144" s="35">
        <v>3.5369999999999999</v>
      </c>
      <c r="U144" s="35">
        <f>_xlfn.XLOOKUP(C144,Industry_Benchmark!$A$2:$A$82,Industry_Benchmark!$F$2:$F$82,"")</f>
        <v>31.016666666666666</v>
      </c>
      <c r="V144" s="35">
        <f>T144-U144</f>
        <v>-27.479666666666667</v>
      </c>
      <c r="W144" s="35">
        <f>IF(V144&gt;0,1,0)</f>
        <v>0</v>
      </c>
      <c r="X144" s="36">
        <v>0.31742999999999999</v>
      </c>
      <c r="Y144" s="36">
        <f>_xlfn.XLOOKUP(C144,Industry_Benchmark!$A$2:$A$82,Industry_Benchmark!$G$2:$G$82,"")</f>
        <v>0.32167000000000001</v>
      </c>
      <c r="Z144" s="59">
        <f>X144-Y144</f>
        <v>-4.2400000000000215E-3</v>
      </c>
      <c r="AA144" s="35">
        <f>IF(Z144&gt;0,1,0)</f>
        <v>0</v>
      </c>
      <c r="AB144" s="60">
        <f>SUM(G144,K144,O144,S144,W144,AA144)</f>
        <v>2</v>
      </c>
      <c r="AC144" s="61">
        <f>AB144/6</f>
        <v>0.33333333333333331</v>
      </c>
      <c r="AD144" s="62" t="str" cm="1">
        <f t="array" ref="AD144">_xlfn.IFS(
AB144=6,"Excellent",
AB144=5,"Strong",
AB144=4,"Good",
AB144=3,"Average",
AB144&lt;=2,"Weak"
)</f>
        <v>Weak</v>
      </c>
    </row>
    <row r="145" spans="1:30" x14ac:dyDescent="0.3">
      <c r="A145" s="12" t="s">
        <v>69</v>
      </c>
      <c r="B145" s="10" t="s">
        <v>70</v>
      </c>
      <c r="C145" s="10" t="s">
        <v>68</v>
      </c>
      <c r="D145" s="36">
        <v>0.22264</v>
      </c>
      <c r="E145" s="36">
        <f>_xlfn.XLOOKUP(C145,Industry_Benchmark!$A$2:$A$82,Industry_Benchmark!$B$2:$B$82,"")</f>
        <v>0.21304124999999996</v>
      </c>
      <c r="F145" s="36">
        <f>D145-E145</f>
        <v>9.5987500000000447E-3</v>
      </c>
      <c r="G145" s="37">
        <f>IF(F145&gt;0,1,0)</f>
        <v>1</v>
      </c>
      <c r="H145" s="36">
        <v>0.104</v>
      </c>
      <c r="I145" s="36">
        <f>_xlfn.XLOOKUP(C145,Industry_Benchmark!$A$2:$A$82,Industry_Benchmark!$C$2:$C$82,"")</f>
        <v>0.270125</v>
      </c>
      <c r="J145" s="36">
        <f>H145-I145</f>
        <v>-0.16612500000000002</v>
      </c>
      <c r="K145" s="37">
        <f>IF(J145&gt;0,1,0)</f>
        <v>0</v>
      </c>
      <c r="L145" s="35">
        <v>1.3480000000000001</v>
      </c>
      <c r="M145" s="35">
        <f>_xlfn.XLOOKUP(C145,Industry_Benchmark!$A$2:$A$82,Industry_Benchmark!$D$2:$D$82,"")</f>
        <v>1.4105714285714286</v>
      </c>
      <c r="N145" s="35">
        <f>L145-M145</f>
        <v>-6.25714285714285E-2</v>
      </c>
      <c r="O145" s="35">
        <f>IF(N145&gt;0,1,0)</f>
        <v>0</v>
      </c>
      <c r="P145" s="36">
        <v>8.8419999999999999E-2</v>
      </c>
      <c r="Q145" s="36">
        <f>_xlfn.XLOOKUP(C145,Industry_Benchmark!$A$2:$A$82,Industry_Benchmark!$E$2:$E$82,"")</f>
        <v>9.5184285714285721E-2</v>
      </c>
      <c r="R145" s="36">
        <f>P145-Q145</f>
        <v>-6.7642857142857227E-3</v>
      </c>
      <c r="S145" s="37">
        <f>IF(R145&gt;0,1,0)</f>
        <v>0</v>
      </c>
      <c r="T145" s="35">
        <v>46.945999999999998</v>
      </c>
      <c r="U145" s="35">
        <f>_xlfn.XLOOKUP(C145,Industry_Benchmark!$A$2:$A$82,Industry_Benchmark!$F$2:$F$82,"")</f>
        <v>212.02399999999994</v>
      </c>
      <c r="V145" s="35">
        <f>T145-U145</f>
        <v>-165.07799999999995</v>
      </c>
      <c r="W145" s="35">
        <f>IF(V145&gt;0,1,0)</f>
        <v>0</v>
      </c>
      <c r="X145" s="36">
        <v>0.30412</v>
      </c>
      <c r="Y145" s="36">
        <f>_xlfn.XLOOKUP(C145,Industry_Benchmark!$A$2:$A$82,Industry_Benchmark!$G$2:$G$82,"")</f>
        <v>0.47294625624999997</v>
      </c>
      <c r="Z145" s="59">
        <f>X145-Y145</f>
        <v>-0.16882625624999997</v>
      </c>
      <c r="AA145" s="35">
        <f>IF(Z145&gt;0,1,0)</f>
        <v>0</v>
      </c>
      <c r="AB145" s="60">
        <f>SUM(G145,K145,O145,S145,W145,AA145)</f>
        <v>1</v>
      </c>
      <c r="AC145" s="61">
        <f>AB145/6</f>
        <v>0.16666666666666666</v>
      </c>
      <c r="AD145" s="62" t="str" cm="1">
        <f t="array" ref="AD145">_xlfn.IFS(
AB145=6,"Excellent",
AB145=5,"Strong",
AB145=4,"Good",
AB145=3,"Average",
AB145&lt;=2,"Weak"
)</f>
        <v>Weak</v>
      </c>
    </row>
    <row r="146" spans="1:30" x14ac:dyDescent="0.3">
      <c r="A146" s="12" t="s">
        <v>75</v>
      </c>
      <c r="B146" s="10" t="s">
        <v>76</v>
      </c>
      <c r="C146" s="10" t="s">
        <v>74</v>
      </c>
      <c r="D146" s="36">
        <v>0.1852</v>
      </c>
      <c r="E146" s="36">
        <f>_xlfn.XLOOKUP(C146,Industry_Benchmark!$A$2:$A$82,Industry_Benchmark!$B$2:$B$82,"")</f>
        <v>0.14528250400000001</v>
      </c>
      <c r="F146" s="36">
        <f>D146-E146</f>
        <v>3.9917495999999997E-2</v>
      </c>
      <c r="G146" s="37">
        <f>IF(F146&gt;0,1,0)</f>
        <v>1</v>
      </c>
      <c r="H146" s="36">
        <v>6.0999999999999999E-2</v>
      </c>
      <c r="I146" s="36">
        <f>_xlfn.XLOOKUP(C146,Industry_Benchmark!$A$2:$A$82,Industry_Benchmark!$C$2:$C$82,"")</f>
        <v>8.475000000000002E-2</v>
      </c>
      <c r="J146" s="36">
        <f>H146-I146</f>
        <v>-2.3750000000000021E-2</v>
      </c>
      <c r="K146" s="37">
        <f>IF(J146&gt;0,1,0)</f>
        <v>0</v>
      </c>
      <c r="L146" s="35">
        <v>0.67200000000000004</v>
      </c>
      <c r="M146" s="35">
        <f>_xlfn.XLOOKUP(C146,Industry_Benchmark!$A$2:$A$82,Industry_Benchmark!$D$2:$D$82,"")</f>
        <v>1.0912500000000001</v>
      </c>
      <c r="N146" s="35">
        <f>L146-M146</f>
        <v>-0.41925000000000001</v>
      </c>
      <c r="O146" s="35">
        <f>IF(N146&gt;0,1,0)</f>
        <v>0</v>
      </c>
      <c r="P146" s="36">
        <v>9.5140000000000002E-2</v>
      </c>
      <c r="Q146" s="36">
        <f>_xlfn.XLOOKUP(C146,Industry_Benchmark!$A$2:$A$82,Industry_Benchmark!$E$2:$E$82,"")</f>
        <v>0.113515</v>
      </c>
      <c r="R146" s="36">
        <f>P146-Q146</f>
        <v>-1.8375000000000002E-2</v>
      </c>
      <c r="S146" s="37">
        <f>IF(R146&gt;0,1,0)</f>
        <v>0</v>
      </c>
      <c r="T146" s="35">
        <v>79.418000000000006</v>
      </c>
      <c r="U146" s="35">
        <f>_xlfn.XLOOKUP(C146,Industry_Benchmark!$A$2:$A$82,Industry_Benchmark!$F$2:$F$82,"")</f>
        <v>560.26625000000001</v>
      </c>
      <c r="V146" s="35">
        <f>T146-U146</f>
        <v>-480.84825000000001</v>
      </c>
      <c r="W146" s="35">
        <f>IF(V146&gt;0,1,0)</f>
        <v>0</v>
      </c>
      <c r="X146" s="36">
        <v>0.31091999999999997</v>
      </c>
      <c r="Y146" s="36">
        <f>_xlfn.XLOOKUP(C146,Industry_Benchmark!$A$2:$A$82,Industry_Benchmark!$G$2:$G$82,"")</f>
        <v>1.3491249999999999</v>
      </c>
      <c r="Z146" s="59">
        <f>X146-Y146</f>
        <v>-1.038205</v>
      </c>
      <c r="AA146" s="35">
        <f>IF(Z146&gt;0,1,0)</f>
        <v>0</v>
      </c>
      <c r="AB146" s="60">
        <f>SUM(G146,K146,O146,S146,W146,AA146)</f>
        <v>1</v>
      </c>
      <c r="AC146" s="61">
        <f>AB146/6</f>
        <v>0.16666666666666666</v>
      </c>
      <c r="AD146" s="62" t="str" cm="1">
        <f t="array" ref="AD146">_xlfn.IFS(
AB146=6,"Excellent",
AB146=5,"Strong",
AB146=4,"Good",
AB146=3,"Average",
AB146&lt;=2,"Weak"
)</f>
        <v>Weak</v>
      </c>
    </row>
    <row r="147" spans="1:30" x14ac:dyDescent="0.3">
      <c r="A147" s="12" t="s">
        <v>96</v>
      </c>
      <c r="B147" s="10" t="s">
        <v>97</v>
      </c>
      <c r="C147" s="10" t="s">
        <v>57</v>
      </c>
      <c r="D147" s="36">
        <v>0.24539</v>
      </c>
      <c r="E147" s="36">
        <f>_xlfn.XLOOKUP(C147,Industry_Benchmark!$A$2:$A$82,Industry_Benchmark!$B$2:$B$82,"")</f>
        <v>0.24659300000000001</v>
      </c>
      <c r="F147" s="36">
        <f>D147-E147</f>
        <v>-1.2030000000000096E-3</v>
      </c>
      <c r="G147" s="37">
        <f>IF(F147&gt;0,1,0)</f>
        <v>0</v>
      </c>
      <c r="H147" s="36">
        <v>0.14499999999999999</v>
      </c>
      <c r="I147" s="36">
        <f>_xlfn.XLOOKUP(C147,Industry_Benchmark!$A$2:$A$82,Industry_Benchmark!$C$2:$C$82,"")</f>
        <v>0.30759999999999998</v>
      </c>
      <c r="J147" s="36">
        <f>H147-I147</f>
        <v>-0.16259999999999999</v>
      </c>
      <c r="K147" s="37">
        <f>IF(J147&gt;0,1,0)</f>
        <v>0</v>
      </c>
      <c r="L147" s="35">
        <v>2.641</v>
      </c>
      <c r="M147" s="35">
        <f>_xlfn.XLOOKUP(C147,Industry_Benchmark!$A$2:$A$82,Industry_Benchmark!$D$2:$D$82,"")</f>
        <v>2.9108000000000001</v>
      </c>
      <c r="N147" s="35">
        <f>L147-M147</f>
        <v>-0.26980000000000004</v>
      </c>
      <c r="O147" s="35">
        <f>IF(N147&gt;0,1,0)</f>
        <v>0</v>
      </c>
      <c r="P147" s="36">
        <v>7.1639999999999995E-2</v>
      </c>
      <c r="Q147" s="36">
        <f>_xlfn.XLOOKUP(C147,Industry_Benchmark!$A$2:$A$82,Industry_Benchmark!$E$2:$E$82,"")</f>
        <v>0.1215560017</v>
      </c>
      <c r="R147" s="36">
        <f>P147-Q147</f>
        <v>-4.9916001700000004E-2</v>
      </c>
      <c r="S147" s="37">
        <f>IF(R147&gt;0,1,0)</f>
        <v>0</v>
      </c>
      <c r="T147" s="35">
        <v>161.16300000000001</v>
      </c>
      <c r="U147" s="35">
        <f>_xlfn.XLOOKUP(C147,Industry_Benchmark!$A$2:$A$82,Industry_Benchmark!$F$2:$F$82,"")</f>
        <v>77.073399999999992</v>
      </c>
      <c r="V147" s="35">
        <f>T147-U147</f>
        <v>84.089600000000019</v>
      </c>
      <c r="W147" s="35">
        <f>IF(V147&gt;0,1,0)</f>
        <v>1</v>
      </c>
      <c r="X147" s="36">
        <v>0.27556000000000003</v>
      </c>
      <c r="Y147" s="36">
        <f>_xlfn.XLOOKUP(C147,Industry_Benchmark!$A$2:$A$82,Industry_Benchmark!$G$2:$G$82,"")</f>
        <v>0.37541199820000004</v>
      </c>
      <c r="Z147" s="59">
        <f>X147-Y147</f>
        <v>-9.9851998200000014E-2</v>
      </c>
      <c r="AA147" s="35">
        <f>IF(Z147&gt;0,1,0)</f>
        <v>0</v>
      </c>
      <c r="AB147" s="60">
        <f>SUM(G147,K147,O147,S147,W147,AA147)</f>
        <v>1</v>
      </c>
      <c r="AC147" s="61">
        <f>AB147/6</f>
        <v>0.16666666666666666</v>
      </c>
      <c r="AD147" s="62" t="str" cm="1">
        <f t="array" ref="AD147">_xlfn.IFS(
AB147=6,"Excellent",
AB147=5,"Strong",
AB147=4,"Good",
AB147=3,"Average",
AB147&lt;=2,"Weak"
)</f>
        <v>Weak</v>
      </c>
    </row>
    <row r="148" spans="1:30" x14ac:dyDescent="0.3">
      <c r="A148" s="12" t="s">
        <v>109</v>
      </c>
      <c r="B148" s="10" t="s">
        <v>110</v>
      </c>
      <c r="C148" s="10" t="s">
        <v>108</v>
      </c>
      <c r="D148" s="36">
        <v>0.19700999999999999</v>
      </c>
      <c r="E148" s="36">
        <f>_xlfn.XLOOKUP(C148,Industry_Benchmark!$A$2:$A$82,Industry_Benchmark!$B$2:$B$82,"")</f>
        <v>0.18452167</v>
      </c>
      <c r="F148" s="36">
        <f>D148-E148</f>
        <v>1.2488329999999992E-2</v>
      </c>
      <c r="G148" s="37">
        <f>IF(F148&gt;0,1,0)</f>
        <v>1</v>
      </c>
      <c r="H148" s="36">
        <v>1.4E-2</v>
      </c>
      <c r="I148" s="36">
        <f>_xlfn.XLOOKUP(C148,Industry_Benchmark!$A$2:$A$82,Industry_Benchmark!$C$2:$C$82,"")</f>
        <v>0.17683333333333331</v>
      </c>
      <c r="J148" s="36">
        <f>H148-I148</f>
        <v>-0.1628333333333333</v>
      </c>
      <c r="K148" s="37">
        <f>IF(J148&gt;0,1,0)</f>
        <v>0</v>
      </c>
      <c r="L148" s="35">
        <v>1.504</v>
      </c>
      <c r="M148" s="35">
        <f>_xlfn.XLOOKUP(C148,Industry_Benchmark!$A$2:$A$82,Industry_Benchmark!$D$2:$D$82,"")</f>
        <v>1.6713333333333333</v>
      </c>
      <c r="N148" s="35">
        <f>L148-M148</f>
        <v>-0.16733333333333333</v>
      </c>
      <c r="O148" s="35">
        <f>IF(N148&gt;0,1,0)</f>
        <v>0</v>
      </c>
      <c r="P148" s="36">
        <v>7.8009999999999996E-2</v>
      </c>
      <c r="Q148" s="36">
        <f>_xlfn.XLOOKUP(C148,Industry_Benchmark!$A$2:$A$82,Industry_Benchmark!$E$2:$E$82,"")</f>
        <v>9.1146667000000001E-2</v>
      </c>
      <c r="R148" s="36">
        <f>P148-Q148</f>
        <v>-1.3136667000000005E-2</v>
      </c>
      <c r="S148" s="37">
        <f>IF(R148&gt;0,1,0)</f>
        <v>0</v>
      </c>
      <c r="T148" s="35">
        <v>85.096999999999994</v>
      </c>
      <c r="U148" s="35">
        <f>_xlfn.XLOOKUP(C148,Industry_Benchmark!$A$2:$A$82,Industry_Benchmark!$F$2:$F$82,"")</f>
        <v>96.502166666666668</v>
      </c>
      <c r="V148" s="35">
        <f>T148-U148</f>
        <v>-11.405166666666673</v>
      </c>
      <c r="W148" s="35">
        <f>IF(V148&gt;0,1,0)</f>
        <v>0</v>
      </c>
      <c r="X148" s="36">
        <v>0.20476</v>
      </c>
      <c r="Y148" s="36">
        <f>_xlfn.XLOOKUP(C148,Industry_Benchmark!$A$2:$A$82,Industry_Benchmark!$G$2:$G$82,"")</f>
        <v>0.32766498833333335</v>
      </c>
      <c r="Z148" s="59">
        <f>X148-Y148</f>
        <v>-0.12290498833333335</v>
      </c>
      <c r="AA148" s="35">
        <f>IF(Z148&gt;0,1,0)</f>
        <v>0</v>
      </c>
      <c r="AB148" s="60">
        <f>SUM(G148,K148,O148,S148,W148,AA148)</f>
        <v>1</v>
      </c>
      <c r="AC148" s="61">
        <f>AB148/6</f>
        <v>0.16666666666666666</v>
      </c>
      <c r="AD148" s="62" t="str" cm="1">
        <f t="array" ref="AD148">_xlfn.IFS(
AB148=6,"Excellent",
AB148=5,"Strong",
AB148=4,"Good",
AB148=3,"Average",
AB148&lt;=2,"Weak"
)</f>
        <v>Weak</v>
      </c>
    </row>
    <row r="149" spans="1:30" x14ac:dyDescent="0.3">
      <c r="A149" s="12" t="s">
        <v>111</v>
      </c>
      <c r="B149" s="10" t="s">
        <v>112</v>
      </c>
      <c r="C149" s="10" t="s">
        <v>44</v>
      </c>
      <c r="D149" s="36">
        <v>0.24787999999999999</v>
      </c>
      <c r="E149" s="36">
        <f>_xlfn.XLOOKUP(C149,Industry_Benchmark!$A$2:$A$82,Industry_Benchmark!$B$2:$B$82,"")</f>
        <v>0.26349400199999995</v>
      </c>
      <c r="F149" s="36">
        <f>D149-E149</f>
        <v>-1.561400199999996E-2</v>
      </c>
      <c r="G149" s="37">
        <f>IF(F149&gt;0,1,0)</f>
        <v>0</v>
      </c>
      <c r="H149" s="36">
        <v>5.7000000000000002E-2</v>
      </c>
      <c r="I149" s="36">
        <f>_xlfn.XLOOKUP(C149,Industry_Benchmark!$A$2:$A$82,Industry_Benchmark!$C$2:$C$82,"")</f>
        <v>0.2198</v>
      </c>
      <c r="J149" s="36">
        <f>H149-I149</f>
        <v>-0.1628</v>
      </c>
      <c r="K149" s="37">
        <f>IF(J149&gt;0,1,0)</f>
        <v>0</v>
      </c>
      <c r="L149" s="35">
        <v>1.6459999999999999</v>
      </c>
      <c r="M149" s="35">
        <f>_xlfn.XLOOKUP(C149,Industry_Benchmark!$A$2:$A$82,Industry_Benchmark!$D$2:$D$82,"")</f>
        <v>1.6274000000000002</v>
      </c>
      <c r="N149" s="35">
        <f>L149-M149</f>
        <v>1.8599999999999728E-2</v>
      </c>
      <c r="O149" s="35">
        <f>IF(N149&gt;0,1,0)</f>
        <v>1</v>
      </c>
      <c r="P149" s="36">
        <v>9.1999999999999998E-2</v>
      </c>
      <c r="Q149" s="36">
        <f>_xlfn.XLOOKUP(C149,Industry_Benchmark!$A$2:$A$82,Industry_Benchmark!$E$2:$E$82,"")</f>
        <v>0.10721799800000001</v>
      </c>
      <c r="R149" s="36">
        <f>P149-Q149</f>
        <v>-1.521799800000001E-2</v>
      </c>
      <c r="S149" s="37">
        <f>IF(R149&gt;0,1,0)</f>
        <v>0</v>
      </c>
      <c r="T149" s="35">
        <v>0</v>
      </c>
      <c r="U149" s="35">
        <f>_xlfn.XLOOKUP(C149,Industry_Benchmark!$A$2:$A$82,Industry_Benchmark!$F$2:$F$82,"")</f>
        <v>37.377800000000001</v>
      </c>
      <c r="V149" s="35">
        <f>T149-U149</f>
        <v>-37.377800000000001</v>
      </c>
      <c r="W149" s="35">
        <f>IF(V149&gt;0,1,0)</f>
        <v>0</v>
      </c>
      <c r="X149" s="36"/>
      <c r="Y149" s="36">
        <f>_xlfn.XLOOKUP(C149,Industry_Benchmark!$A$2:$A$82,Industry_Benchmark!$G$2:$G$82,"")</f>
        <v>0.40269748999999999</v>
      </c>
      <c r="Z149" s="59">
        <f>X149-Y149</f>
        <v>-0.40269748999999999</v>
      </c>
      <c r="AA149" s="35">
        <f>IF(Z149&gt;0,1,0)</f>
        <v>0</v>
      </c>
      <c r="AB149" s="60">
        <f>SUM(G149,K149,O149,S149,W149,AA149)</f>
        <v>1</v>
      </c>
      <c r="AC149" s="61">
        <f>AB149/6</f>
        <v>0.16666666666666666</v>
      </c>
      <c r="AD149" s="62" t="str" cm="1">
        <f t="array" ref="AD149">_xlfn.IFS(
AB149=6,"Excellent",
AB149=5,"Strong",
AB149=4,"Good",
AB149=3,"Average",
AB149&lt;=2,"Weak"
)</f>
        <v>Weak</v>
      </c>
    </row>
    <row r="150" spans="1:30" x14ac:dyDescent="0.3">
      <c r="A150" s="12" t="s">
        <v>124</v>
      </c>
      <c r="B150" s="10" t="s">
        <v>125</v>
      </c>
      <c r="C150" s="10" t="s">
        <v>57</v>
      </c>
      <c r="D150" s="36">
        <v>0.25141999999999998</v>
      </c>
      <c r="E150" s="36">
        <f>_xlfn.XLOOKUP(C150,Industry_Benchmark!$A$2:$A$82,Industry_Benchmark!$B$2:$B$82,"")</f>
        <v>0.24659300000000001</v>
      </c>
      <c r="F150" s="36">
        <f>D150-E150</f>
        <v>4.8269999999999702E-3</v>
      </c>
      <c r="G150" s="37">
        <f>IF(F150&gt;0,1,0)</f>
        <v>1</v>
      </c>
      <c r="H150" s="36">
        <v>2.8000000000000001E-2</v>
      </c>
      <c r="I150" s="36">
        <f>_xlfn.XLOOKUP(C150,Industry_Benchmark!$A$2:$A$82,Industry_Benchmark!$C$2:$C$82,"")</f>
        <v>0.30759999999999998</v>
      </c>
      <c r="J150" s="36">
        <f>H150-I150</f>
        <v>-0.27959999999999996</v>
      </c>
      <c r="K150" s="37">
        <f>IF(J150&gt;0,1,0)</f>
        <v>0</v>
      </c>
      <c r="L150" s="35">
        <v>2.1019999999999999</v>
      </c>
      <c r="M150" s="35">
        <f>_xlfn.XLOOKUP(C150,Industry_Benchmark!$A$2:$A$82,Industry_Benchmark!$D$2:$D$82,"")</f>
        <v>2.9108000000000001</v>
      </c>
      <c r="N150" s="35">
        <f>L150-M150</f>
        <v>-0.80880000000000019</v>
      </c>
      <c r="O150" s="35">
        <f>IF(N150&gt;0,1,0)</f>
        <v>0</v>
      </c>
      <c r="P150" s="36">
        <v>8.586001E-2</v>
      </c>
      <c r="Q150" s="36">
        <f>_xlfn.XLOOKUP(C150,Industry_Benchmark!$A$2:$A$82,Industry_Benchmark!$E$2:$E$82,"")</f>
        <v>0.1215560017</v>
      </c>
      <c r="R150" s="36">
        <f>P150-Q150</f>
        <v>-3.5695991699999999E-2</v>
      </c>
      <c r="S150" s="37">
        <f>IF(R150&gt;0,1,0)</f>
        <v>0</v>
      </c>
      <c r="T150" s="35">
        <v>40.508000000000003</v>
      </c>
      <c r="U150" s="35">
        <f>_xlfn.XLOOKUP(C150,Industry_Benchmark!$A$2:$A$82,Industry_Benchmark!$F$2:$F$82,"")</f>
        <v>77.073399999999992</v>
      </c>
      <c r="V150" s="35">
        <f>T150-U150</f>
        <v>-36.56539999999999</v>
      </c>
      <c r="W150" s="35">
        <f>IF(V150&gt;0,1,0)</f>
        <v>0</v>
      </c>
      <c r="X150" s="36">
        <v>0.22522</v>
      </c>
      <c r="Y150" s="36">
        <f>_xlfn.XLOOKUP(C150,Industry_Benchmark!$A$2:$A$82,Industry_Benchmark!$G$2:$G$82,"")</f>
        <v>0.37541199820000004</v>
      </c>
      <c r="Z150" s="59">
        <f>X150-Y150</f>
        <v>-0.15019199820000004</v>
      </c>
      <c r="AA150" s="35">
        <f>IF(Z150&gt;0,1,0)</f>
        <v>0</v>
      </c>
      <c r="AB150" s="60">
        <f>SUM(G150,K150,O150,S150,W150,AA150)</f>
        <v>1</v>
      </c>
      <c r="AC150" s="61">
        <f>AB150/6</f>
        <v>0.16666666666666666</v>
      </c>
      <c r="AD150" s="62" t="str" cm="1">
        <f t="array" ref="AD150">_xlfn.IFS(
AB150=6,"Excellent",
AB150=5,"Strong",
AB150=4,"Good",
AB150=3,"Average",
AB150&lt;=2,"Weak"
)</f>
        <v>Weak</v>
      </c>
    </row>
    <row r="151" spans="1:30" x14ac:dyDescent="0.3">
      <c r="A151" s="12" t="s">
        <v>136</v>
      </c>
      <c r="B151" s="10" t="s">
        <v>137</v>
      </c>
      <c r="C151" s="10" t="s">
        <v>68</v>
      </c>
      <c r="D151" s="36">
        <v>0.13680999999999999</v>
      </c>
      <c r="E151" s="36">
        <f>_xlfn.XLOOKUP(C151,Industry_Benchmark!$A$2:$A$82,Industry_Benchmark!$B$2:$B$82,"")</f>
        <v>0.21304124999999996</v>
      </c>
      <c r="F151" s="36">
        <f>D151-E151</f>
        <v>-7.6231249999999973E-2</v>
      </c>
      <c r="G151" s="37">
        <f>IF(F151&gt;0,1,0)</f>
        <v>0</v>
      </c>
      <c r="H151" s="36">
        <v>0.20399999999999999</v>
      </c>
      <c r="I151" s="36">
        <f>_xlfn.XLOOKUP(C151,Industry_Benchmark!$A$2:$A$82,Industry_Benchmark!$C$2:$C$82,"")</f>
        <v>0.270125</v>
      </c>
      <c r="J151" s="36">
        <f>H151-I151</f>
        <v>-6.6125000000000017E-2</v>
      </c>
      <c r="K151" s="37">
        <f>IF(J151&gt;0,1,0)</f>
        <v>0</v>
      </c>
      <c r="L151" s="35">
        <v>1.3089999999999999</v>
      </c>
      <c r="M151" s="35">
        <f>_xlfn.XLOOKUP(C151,Industry_Benchmark!$A$2:$A$82,Industry_Benchmark!$D$2:$D$82,"")</f>
        <v>1.4105714285714286</v>
      </c>
      <c r="N151" s="35">
        <f>L151-M151</f>
        <v>-0.10157142857142865</v>
      </c>
      <c r="O151" s="35">
        <f>IF(N151&gt;0,1,0)</f>
        <v>0</v>
      </c>
      <c r="P151" s="36">
        <v>0.12132999999999999</v>
      </c>
      <c r="Q151" s="36">
        <f>_xlfn.XLOOKUP(C151,Industry_Benchmark!$A$2:$A$82,Industry_Benchmark!$E$2:$E$82,"")</f>
        <v>9.5184285714285721E-2</v>
      </c>
      <c r="R151" s="36">
        <f>P151-Q151</f>
        <v>2.6145714285714272E-2</v>
      </c>
      <c r="S151" s="37">
        <f>IF(R151&gt;0,1,0)</f>
        <v>1</v>
      </c>
      <c r="T151" s="35">
        <v>73.727999999999994</v>
      </c>
      <c r="U151" s="35">
        <f>_xlfn.XLOOKUP(C151,Industry_Benchmark!$A$2:$A$82,Industry_Benchmark!$F$2:$F$82,"")</f>
        <v>212.02399999999994</v>
      </c>
      <c r="V151" s="35">
        <f>T151-U151</f>
        <v>-138.29599999999994</v>
      </c>
      <c r="W151" s="35">
        <f>IF(V151&gt;0,1,0)</f>
        <v>0</v>
      </c>
      <c r="X151" s="36">
        <v>0.26035999999999998</v>
      </c>
      <c r="Y151" s="36">
        <f>_xlfn.XLOOKUP(C151,Industry_Benchmark!$A$2:$A$82,Industry_Benchmark!$G$2:$G$82,"")</f>
        <v>0.47294625624999997</v>
      </c>
      <c r="Z151" s="59">
        <f>X151-Y151</f>
        <v>-0.21258625624999999</v>
      </c>
      <c r="AA151" s="35">
        <f>IF(Z151&gt;0,1,0)</f>
        <v>0</v>
      </c>
      <c r="AB151" s="60">
        <f>SUM(G151,K151,O151,S151,W151,AA151)</f>
        <v>1</v>
      </c>
      <c r="AC151" s="61">
        <f>AB151/6</f>
        <v>0.16666666666666666</v>
      </c>
      <c r="AD151" s="62" t="str" cm="1">
        <f t="array" ref="AD151">_xlfn.IFS(
AB151=6,"Excellent",
AB151=5,"Strong",
AB151=4,"Good",
AB151=3,"Average",
AB151&lt;=2,"Weak"
)</f>
        <v>Weak</v>
      </c>
    </row>
    <row r="152" spans="1:30" x14ac:dyDescent="0.3">
      <c r="A152" s="12" t="s">
        <v>156</v>
      </c>
      <c r="B152" s="10" t="s">
        <v>157</v>
      </c>
      <c r="C152" s="10" t="s">
        <v>155</v>
      </c>
      <c r="D152" s="36">
        <v>0.14399000000000001</v>
      </c>
      <c r="E152" s="36">
        <f>_xlfn.XLOOKUP(C152,Industry_Benchmark!$A$2:$A$82,Industry_Benchmark!$B$2:$B$82,"")</f>
        <v>0.13919999833333332</v>
      </c>
      <c r="F152" s="36">
        <f>D152-E152</f>
        <v>4.7900016666666823E-3</v>
      </c>
      <c r="G152" s="37">
        <f>IF(F152&gt;0,1,0)</f>
        <v>1</v>
      </c>
      <c r="H152" s="36">
        <v>-8.6999999999999994E-2</v>
      </c>
      <c r="I152" s="36">
        <f>_xlfn.XLOOKUP(C152,Industry_Benchmark!$A$2:$A$82,Industry_Benchmark!$C$2:$C$82,"")</f>
        <v>3.0333333333333337E-2</v>
      </c>
      <c r="J152" s="36">
        <f>H152-I152</f>
        <v>-0.11733333333333333</v>
      </c>
      <c r="K152" s="37">
        <f>IF(J152&gt;0,1,0)</f>
        <v>0</v>
      </c>
      <c r="L152" s="35">
        <v>0.46800000000000003</v>
      </c>
      <c r="M152" s="35">
        <f>_xlfn.XLOOKUP(C152,Industry_Benchmark!$A$2:$A$82,Industry_Benchmark!$D$2:$D$82,"")</f>
        <v>0.65966666666666662</v>
      </c>
      <c r="N152" s="35">
        <f>L152-M152</f>
        <v>-0.1916666666666666</v>
      </c>
      <c r="O152" s="35">
        <f>IF(N152&gt;0,1,0)</f>
        <v>0</v>
      </c>
      <c r="P152" s="36">
        <v>1.33299995E-2</v>
      </c>
      <c r="Q152" s="36">
        <f>_xlfn.XLOOKUP(C152,Industry_Benchmark!$A$2:$A$82,Industry_Benchmark!$E$2:$E$82,"")</f>
        <v>2.127833375E-2</v>
      </c>
      <c r="R152" s="36">
        <f>P152-Q152</f>
        <v>-7.9483342499999995E-3</v>
      </c>
      <c r="S152" s="37">
        <f>IF(R152&gt;0,1,0)</f>
        <v>0</v>
      </c>
      <c r="T152" s="35">
        <v>123.733</v>
      </c>
      <c r="U152" s="35">
        <f>_xlfn.XLOOKUP(C152,Industry_Benchmark!$A$2:$A$82,Industry_Benchmark!$F$2:$F$82,"")</f>
        <v>151.27916666666667</v>
      </c>
      <c r="V152" s="35">
        <f>T152-U152</f>
        <v>-27.546166666666664</v>
      </c>
      <c r="W152" s="35">
        <f>IF(V152&gt;0,1,0)</f>
        <v>0</v>
      </c>
      <c r="X152" s="36">
        <v>3.8730000000000001E-2</v>
      </c>
      <c r="Y152" s="36">
        <f>_xlfn.XLOOKUP(C152,Industry_Benchmark!$A$2:$A$82,Industry_Benchmark!$G$2:$G$82,"")</f>
        <v>8.0088333333333345E-2</v>
      </c>
      <c r="Z152" s="59">
        <f>X152-Y152</f>
        <v>-4.1358333333333344E-2</v>
      </c>
      <c r="AA152" s="35">
        <f>IF(Z152&gt;0,1,0)</f>
        <v>0</v>
      </c>
      <c r="AB152" s="60">
        <f>SUM(G152,K152,O152,S152,W152,AA152)</f>
        <v>1</v>
      </c>
      <c r="AC152" s="61">
        <f>AB152/6</f>
        <v>0.16666666666666666</v>
      </c>
      <c r="AD152" s="62" t="str" cm="1">
        <f t="array" ref="AD152">_xlfn.IFS(
AB152=6,"Excellent",
AB152=5,"Strong",
AB152=4,"Good",
AB152=3,"Average",
AB152&lt;=2,"Weak"
)</f>
        <v>Weak</v>
      </c>
    </row>
    <row r="153" spans="1:30" x14ac:dyDescent="0.3">
      <c r="A153" s="12" t="s">
        <v>161</v>
      </c>
      <c r="B153" s="10" t="s">
        <v>162</v>
      </c>
      <c r="C153" s="10" t="s">
        <v>68</v>
      </c>
      <c r="D153" s="36">
        <v>0.15078</v>
      </c>
      <c r="E153" s="36">
        <f>_xlfn.XLOOKUP(C153,Industry_Benchmark!$A$2:$A$82,Industry_Benchmark!$B$2:$B$82,"")</f>
        <v>0.21304124999999996</v>
      </c>
      <c r="F153" s="36">
        <f>D153-E153</f>
        <v>-6.2261249999999962E-2</v>
      </c>
      <c r="G153" s="37">
        <f>IF(F153&gt;0,1,0)</f>
        <v>0</v>
      </c>
      <c r="H153" s="36">
        <v>8.3000000000000004E-2</v>
      </c>
      <c r="I153" s="36">
        <f>_xlfn.XLOOKUP(C153,Industry_Benchmark!$A$2:$A$82,Industry_Benchmark!$C$2:$C$82,"")</f>
        <v>0.270125</v>
      </c>
      <c r="J153" s="36">
        <f>H153-I153</f>
        <v>-0.18712499999999999</v>
      </c>
      <c r="K153" s="37">
        <f>IF(J153&gt;0,1,0)</f>
        <v>0</v>
      </c>
      <c r="L153" s="35">
        <v>1.5209999999999999</v>
      </c>
      <c r="M153" s="35">
        <f>_xlfn.XLOOKUP(C153,Industry_Benchmark!$A$2:$A$82,Industry_Benchmark!$D$2:$D$82,"")</f>
        <v>1.4105714285714286</v>
      </c>
      <c r="N153" s="35">
        <f>L153-M153</f>
        <v>0.11042857142857132</v>
      </c>
      <c r="O153" s="35">
        <f>IF(N153&gt;0,1,0)</f>
        <v>1</v>
      </c>
      <c r="P153" s="36">
        <v>5.3900000000000003E-2</v>
      </c>
      <c r="Q153" s="36">
        <f>_xlfn.XLOOKUP(C153,Industry_Benchmark!$A$2:$A$82,Industry_Benchmark!$E$2:$E$82,"")</f>
        <v>9.5184285714285721E-2</v>
      </c>
      <c r="R153" s="36">
        <f>P153-Q153</f>
        <v>-4.1284285714285718E-2</v>
      </c>
      <c r="S153" s="37">
        <f>IF(R153&gt;0,1,0)</f>
        <v>0</v>
      </c>
      <c r="T153" s="35">
        <v>126.634</v>
      </c>
      <c r="U153" s="35">
        <f>_xlfn.XLOOKUP(C153,Industry_Benchmark!$A$2:$A$82,Industry_Benchmark!$F$2:$F$82,"")</f>
        <v>212.02399999999994</v>
      </c>
      <c r="V153" s="35">
        <f>T153-U153</f>
        <v>-85.389999999999944</v>
      </c>
      <c r="W153" s="35">
        <f>IF(V153&gt;0,1,0)</f>
        <v>0</v>
      </c>
      <c r="X153" s="36">
        <v>0.18984999999999999</v>
      </c>
      <c r="Y153" s="36">
        <f>_xlfn.XLOOKUP(C153,Industry_Benchmark!$A$2:$A$82,Industry_Benchmark!$G$2:$G$82,"")</f>
        <v>0.47294625624999997</v>
      </c>
      <c r="Z153" s="59">
        <f>X153-Y153</f>
        <v>-0.28309625625000001</v>
      </c>
      <c r="AA153" s="35">
        <f>IF(Z153&gt;0,1,0)</f>
        <v>0</v>
      </c>
      <c r="AB153" s="60">
        <f>SUM(G153,K153,O153,S153,W153,AA153)</f>
        <v>1</v>
      </c>
      <c r="AC153" s="61">
        <f>AB153/6</f>
        <v>0.16666666666666666</v>
      </c>
      <c r="AD153" s="62" t="str" cm="1">
        <f t="array" ref="AD153">_xlfn.IFS(
AB153=6,"Excellent",
AB153=5,"Strong",
AB153=4,"Good",
AB153=3,"Average",
AB153&lt;=2,"Weak"
)</f>
        <v>Weak</v>
      </c>
    </row>
    <row r="154" spans="1:30" x14ac:dyDescent="0.3">
      <c r="A154" s="12" t="s">
        <v>166</v>
      </c>
      <c r="B154" s="10" t="s">
        <v>167</v>
      </c>
      <c r="C154" s="10" t="s">
        <v>165</v>
      </c>
      <c r="D154" s="36">
        <v>5.1960002999999998E-2</v>
      </c>
      <c r="E154" s="36">
        <f>_xlfn.XLOOKUP(C154,Industry_Benchmark!$A$2:$A$82,Industry_Benchmark!$B$2:$B$82,"")</f>
        <v>8.6845711000000006E-2</v>
      </c>
      <c r="F154" s="36">
        <f>D154-E154</f>
        <v>-3.4885708000000008E-2</v>
      </c>
      <c r="G154" s="37">
        <f>IF(F154&gt;0,1,0)</f>
        <v>0</v>
      </c>
      <c r="H154" s="36">
        <v>9.9000000000000005E-2</v>
      </c>
      <c r="I154" s="36">
        <f>_xlfn.XLOOKUP(C154,Industry_Benchmark!$A$2:$A$82,Industry_Benchmark!$C$2:$C$82,"")</f>
        <v>-5.5714285714285701E-3</v>
      </c>
      <c r="J154" s="36">
        <f>H154-I154</f>
        <v>0.10457142857142858</v>
      </c>
      <c r="K154" s="37">
        <f>IF(J154&gt;0,1,0)</f>
        <v>1</v>
      </c>
      <c r="L154" s="35">
        <v>1.23</v>
      </c>
      <c r="M154" s="35">
        <f>_xlfn.XLOOKUP(C154,Industry_Benchmark!$A$2:$A$82,Industry_Benchmark!$D$2:$D$82,"")</f>
        <v>1.9000000000000001</v>
      </c>
      <c r="N154" s="35">
        <f>L154-M154</f>
        <v>-0.67000000000000015</v>
      </c>
      <c r="O154" s="35">
        <f>IF(N154&gt;0,1,0)</f>
        <v>0</v>
      </c>
      <c r="P154" s="36">
        <v>2.5080000000000002E-2</v>
      </c>
      <c r="Q154" s="36">
        <f>_xlfn.XLOOKUP(C154,Industry_Benchmark!$A$2:$A$82,Industry_Benchmark!$E$2:$E$82,"")</f>
        <v>5.5819999142857138E-2</v>
      </c>
      <c r="R154" s="36">
        <f>P154-Q154</f>
        <v>-3.0739999142857136E-2</v>
      </c>
      <c r="S154" s="37">
        <f>IF(R154&gt;0,1,0)</f>
        <v>0</v>
      </c>
      <c r="T154" s="35">
        <v>44.935000000000002</v>
      </c>
      <c r="U154" s="35">
        <f>_xlfn.XLOOKUP(C154,Industry_Benchmark!$A$2:$A$82,Industry_Benchmark!$F$2:$F$82,"")</f>
        <v>56.095714285714287</v>
      </c>
      <c r="V154" s="35">
        <f>T154-U154</f>
        <v>-11.160714285714285</v>
      </c>
      <c r="W154" s="35">
        <f>IF(V154&gt;0,1,0)</f>
        <v>0</v>
      </c>
      <c r="X154" s="36">
        <v>5.0169999999999999E-2</v>
      </c>
      <c r="Y154" s="36">
        <f>_xlfn.XLOOKUP(C154,Industry_Benchmark!$A$2:$A$82,Industry_Benchmark!$G$2:$G$82,"")</f>
        <v>0.33201799800000004</v>
      </c>
      <c r="Z154" s="59">
        <f>X154-Y154</f>
        <v>-0.28184799800000004</v>
      </c>
      <c r="AA154" s="35">
        <f>IF(Z154&gt;0,1,0)</f>
        <v>0</v>
      </c>
      <c r="AB154" s="60">
        <f>SUM(G154,K154,O154,S154,W154,AA154)</f>
        <v>1</v>
      </c>
      <c r="AC154" s="61">
        <f>AB154/6</f>
        <v>0.16666666666666666</v>
      </c>
      <c r="AD154" s="62" t="str" cm="1">
        <f t="array" ref="AD154">_xlfn.IFS(
AB154=6,"Excellent",
AB154=5,"Strong",
AB154=4,"Good",
AB154=3,"Average",
AB154&lt;=2,"Weak"
)</f>
        <v>Weak</v>
      </c>
    </row>
    <row r="155" spans="1:30" x14ac:dyDescent="0.3">
      <c r="A155" s="12" t="s">
        <v>168</v>
      </c>
      <c r="B155" s="10" t="s">
        <v>169</v>
      </c>
      <c r="C155" s="10" t="s">
        <v>82</v>
      </c>
      <c r="D155" s="36">
        <v>8.6249999999999993E-2</v>
      </c>
      <c r="E155" s="36">
        <f>_xlfn.XLOOKUP(C155,Industry_Benchmark!$A$2:$A$82,Industry_Benchmark!$B$2:$B$82,"")</f>
        <v>9.7080004999999997E-2</v>
      </c>
      <c r="F155" s="36">
        <f>D155-E155</f>
        <v>-1.0830005000000004E-2</v>
      </c>
      <c r="G155" s="37">
        <f>IF(F155&gt;0,1,0)</f>
        <v>0</v>
      </c>
      <c r="H155" s="36">
        <v>2.7E-2</v>
      </c>
      <c r="I155" s="36">
        <f>_xlfn.XLOOKUP(C155,Industry_Benchmark!$A$2:$A$82,Industry_Benchmark!$C$2:$C$82,"")</f>
        <v>6.25E-2</v>
      </c>
      <c r="J155" s="36">
        <f>H155-I155</f>
        <v>-3.5500000000000004E-2</v>
      </c>
      <c r="K155" s="37">
        <f>IF(J155&gt;0,1,0)</f>
        <v>0</v>
      </c>
      <c r="L155" s="35">
        <v>1.1930000000000001</v>
      </c>
      <c r="M155" s="35">
        <f>_xlfn.XLOOKUP(C155,Industry_Benchmark!$A$2:$A$82,Industry_Benchmark!$D$2:$D$82,"")</f>
        <v>1.1625000000000001</v>
      </c>
      <c r="N155" s="35">
        <f>L155-M155</f>
        <v>3.0499999999999972E-2</v>
      </c>
      <c r="O155" s="35">
        <f>IF(N155&gt;0,1,0)</f>
        <v>1</v>
      </c>
      <c r="P155" s="36">
        <v>0.16220999999999999</v>
      </c>
      <c r="Q155" s="36">
        <f>_xlfn.XLOOKUP(C155,Industry_Benchmark!$A$2:$A$82,Industry_Benchmark!$E$2:$E$82,"")</f>
        <v>0.18337500000000001</v>
      </c>
      <c r="R155" s="36">
        <f>P155-Q155</f>
        <v>-2.1165000000000017E-2</v>
      </c>
      <c r="S155" s="37">
        <f>IF(R155&gt;0,1,0)</f>
        <v>0</v>
      </c>
      <c r="T155" s="35">
        <v>0</v>
      </c>
      <c r="U155" s="35">
        <f>_xlfn.XLOOKUP(C155,Industry_Benchmark!$A$2:$A$82,Industry_Benchmark!$F$2:$F$82,"")</f>
        <v>2186.7150000000001</v>
      </c>
      <c r="V155" s="35">
        <f>T155-U155</f>
        <v>-2186.7150000000001</v>
      </c>
      <c r="W155" s="35">
        <f>IF(V155&gt;0,1,0)</f>
        <v>0</v>
      </c>
      <c r="X155" s="36">
        <v>6.57829</v>
      </c>
      <c r="Y155" s="36">
        <f>_xlfn.XLOOKUP(C155,Industry_Benchmark!$A$2:$A$82,Industry_Benchmark!$G$2:$G$82,"")</f>
        <v>9.4907002499999997</v>
      </c>
      <c r="Z155" s="59">
        <f>X155-Y155</f>
        <v>-2.9124102499999998</v>
      </c>
      <c r="AA155" s="35">
        <f>IF(Z155&gt;0,1,0)</f>
        <v>0</v>
      </c>
      <c r="AB155" s="60">
        <f>SUM(G155,K155,O155,S155,W155,AA155)</f>
        <v>1</v>
      </c>
      <c r="AC155" s="61">
        <f>AB155/6</f>
        <v>0.16666666666666666</v>
      </c>
      <c r="AD155" s="62" t="str" cm="1">
        <f t="array" ref="AD155">_xlfn.IFS(
AB155=6,"Excellent",
AB155=5,"Strong",
AB155=4,"Good",
AB155=3,"Average",
AB155&lt;=2,"Weak"
)</f>
        <v>Weak</v>
      </c>
    </row>
    <row r="156" spans="1:30" x14ac:dyDescent="0.3">
      <c r="A156" s="12" t="s">
        <v>175</v>
      </c>
      <c r="B156" s="10" t="s">
        <v>176</v>
      </c>
      <c r="C156" s="10" t="s">
        <v>126</v>
      </c>
      <c r="D156" s="36">
        <v>0.14793000000000001</v>
      </c>
      <c r="E156" s="36">
        <f>_xlfn.XLOOKUP(C156,Industry_Benchmark!$A$2:$A$82,Industry_Benchmark!$B$2:$B$82,"")</f>
        <v>0.17781714214285715</v>
      </c>
      <c r="F156" s="36">
        <f>D156-E156</f>
        <v>-2.9887142142857148E-2</v>
      </c>
      <c r="G156" s="37">
        <f>IF(F156&gt;0,1,0)</f>
        <v>0</v>
      </c>
      <c r="H156" s="36">
        <v>2.5999999999999999E-2</v>
      </c>
      <c r="I156" s="36">
        <f>_xlfn.XLOOKUP(C156,Industry_Benchmark!$A$2:$A$82,Industry_Benchmark!$C$2:$C$82,"")</f>
        <v>0.16085714285714284</v>
      </c>
      <c r="J156" s="36">
        <f>H156-I156</f>
        <v>-0.13485714285714284</v>
      </c>
      <c r="K156" s="37">
        <f>IF(J156&gt;0,1,0)</f>
        <v>0</v>
      </c>
      <c r="L156" s="35">
        <v>2.9129999999999998</v>
      </c>
      <c r="M156" s="35">
        <f>_xlfn.XLOOKUP(C156,Industry_Benchmark!$A$2:$A$82,Industry_Benchmark!$D$2:$D$82,"")</f>
        <v>2.5379999999999998</v>
      </c>
      <c r="N156" s="35">
        <f>L156-M156</f>
        <v>0.375</v>
      </c>
      <c r="O156" s="35">
        <f>IF(N156&gt;0,1,0)</f>
        <v>1</v>
      </c>
      <c r="P156" s="36">
        <v>4.5879996999999999E-2</v>
      </c>
      <c r="Q156" s="36">
        <f>_xlfn.XLOOKUP(C156,Industry_Benchmark!$A$2:$A$82,Industry_Benchmark!$E$2:$E$82,"")</f>
        <v>7.492714242857143E-2</v>
      </c>
      <c r="R156" s="36">
        <f>P156-Q156</f>
        <v>-2.9047145428571432E-2</v>
      </c>
      <c r="S156" s="37">
        <f>IF(R156&gt;0,1,0)</f>
        <v>0</v>
      </c>
      <c r="T156" s="35">
        <v>49.125</v>
      </c>
      <c r="U156" s="35">
        <f>_xlfn.XLOOKUP(C156,Industry_Benchmark!$A$2:$A$82,Industry_Benchmark!$F$2:$F$82,"")</f>
        <v>50.663714285714285</v>
      </c>
      <c r="V156" s="35">
        <f>T156-U156</f>
        <v>-1.5387142857142848</v>
      </c>
      <c r="W156" s="35">
        <f>IF(V156&gt;0,1,0)</f>
        <v>0</v>
      </c>
      <c r="X156" s="36">
        <v>9.2329999999999995E-2</v>
      </c>
      <c r="Y156" s="36">
        <f>_xlfn.XLOOKUP(C156,Industry_Benchmark!$A$2:$A$82,Industry_Benchmark!$G$2:$G$82,"")</f>
        <v>0.18974000000000002</v>
      </c>
      <c r="Z156" s="59">
        <f>X156-Y156</f>
        <v>-9.7410000000000024E-2</v>
      </c>
      <c r="AA156" s="35">
        <f>IF(Z156&gt;0,1,0)</f>
        <v>0</v>
      </c>
      <c r="AB156" s="60">
        <f>SUM(G156,K156,O156,S156,W156,AA156)</f>
        <v>1</v>
      </c>
      <c r="AC156" s="61">
        <f>AB156/6</f>
        <v>0.16666666666666666</v>
      </c>
      <c r="AD156" s="62" t="str" cm="1">
        <f t="array" ref="AD156">_xlfn.IFS(
AB156=6,"Excellent",
AB156=5,"Strong",
AB156=4,"Good",
AB156=3,"Average",
AB156&lt;=2,"Weak"
)</f>
        <v>Weak</v>
      </c>
    </row>
    <row r="157" spans="1:30" x14ac:dyDescent="0.3">
      <c r="A157" s="12" t="s">
        <v>177</v>
      </c>
      <c r="B157" s="10" t="s">
        <v>178</v>
      </c>
      <c r="C157" s="10" t="s">
        <v>62</v>
      </c>
      <c r="D157" s="36">
        <v>2.6679999999999999E-2</v>
      </c>
      <c r="E157" s="36">
        <f>_xlfn.XLOOKUP(C157,Industry_Benchmark!$A$2:$A$82,Industry_Benchmark!$B$2:$B$82,"")</f>
        <v>3.6041667333333326E-2</v>
      </c>
      <c r="F157" s="36">
        <f>D157-E157</f>
        <v>-9.3616673333333268E-3</v>
      </c>
      <c r="G157" s="37">
        <f>IF(F157&gt;0,1,0)</f>
        <v>0</v>
      </c>
      <c r="H157" s="36">
        <v>0.1</v>
      </c>
      <c r="I157" s="36">
        <f>_xlfn.XLOOKUP(C157,Industry_Benchmark!$A$2:$A$82,Industry_Benchmark!$C$2:$C$82,"")</f>
        <v>0.11366666666666668</v>
      </c>
      <c r="J157" s="36">
        <f>H157-I157</f>
        <v>-1.3666666666666674E-2</v>
      </c>
      <c r="K157" s="37">
        <f>IF(J157&gt;0,1,0)</f>
        <v>0</v>
      </c>
      <c r="L157" s="35">
        <v>0.94</v>
      </c>
      <c r="M157" s="35">
        <f>_xlfn.XLOOKUP(C157,Industry_Benchmark!$A$2:$A$82,Industry_Benchmark!$D$2:$D$82,"")</f>
        <v>1.1100000000000001</v>
      </c>
      <c r="N157" s="35">
        <f>L157-M157</f>
        <v>-0.17000000000000015</v>
      </c>
      <c r="O157" s="35">
        <f>IF(N157&gt;0,1,0)</f>
        <v>0</v>
      </c>
      <c r="P157" s="36">
        <v>3.551E-2</v>
      </c>
      <c r="Q157" s="36">
        <f>_xlfn.XLOOKUP(C157,Industry_Benchmark!$A$2:$A$82,Industry_Benchmark!$E$2:$E$82,"")</f>
        <v>4.6496666166666666E-2</v>
      </c>
      <c r="R157" s="36">
        <f>P157-Q157</f>
        <v>-1.0986666166666666E-2</v>
      </c>
      <c r="S157" s="37">
        <f>IF(R157&gt;0,1,0)</f>
        <v>0</v>
      </c>
      <c r="T157" s="35">
        <v>105.414</v>
      </c>
      <c r="U157" s="35">
        <f>_xlfn.XLOOKUP(C157,Industry_Benchmark!$A$2:$A$82,Industry_Benchmark!$F$2:$F$82,"")</f>
        <v>78.132333333333335</v>
      </c>
      <c r="V157" s="35">
        <f>T157-U157</f>
        <v>27.281666666666666</v>
      </c>
      <c r="W157" s="35">
        <f>IF(V157&gt;0,1,0)</f>
        <v>1</v>
      </c>
      <c r="X157" s="36">
        <v>0.10556</v>
      </c>
      <c r="Y157" s="36">
        <f>_xlfn.XLOOKUP(C157,Industry_Benchmark!$A$2:$A$82,Industry_Benchmark!$G$2:$G$82,"")</f>
        <v>0.14621000233333331</v>
      </c>
      <c r="Z157" s="59">
        <f>X157-Y157</f>
        <v>-4.065000233333331E-2</v>
      </c>
      <c r="AA157" s="35">
        <f>IF(Z157&gt;0,1,0)</f>
        <v>0</v>
      </c>
      <c r="AB157" s="60">
        <f>SUM(G157,K157,O157,S157,W157,AA157)</f>
        <v>1</v>
      </c>
      <c r="AC157" s="61">
        <f>AB157/6</f>
        <v>0.16666666666666666</v>
      </c>
      <c r="AD157" s="62" t="str" cm="1">
        <f t="array" ref="AD157">_xlfn.IFS(
AB157=6,"Excellent",
AB157=5,"Strong",
AB157=4,"Good",
AB157=3,"Average",
AB157&lt;=2,"Weak"
)</f>
        <v>Weak</v>
      </c>
    </row>
    <row r="158" spans="1:30" x14ac:dyDescent="0.3">
      <c r="A158" s="12" t="s">
        <v>188</v>
      </c>
      <c r="B158" s="10" t="s">
        <v>189</v>
      </c>
      <c r="C158" s="10" t="s">
        <v>187</v>
      </c>
      <c r="D158" s="36">
        <v>0.15801999999999999</v>
      </c>
      <c r="E158" s="36">
        <f>_xlfn.XLOOKUP(C158,Industry_Benchmark!$A$2:$A$82,Industry_Benchmark!$B$2:$B$82,"")</f>
        <v>0.16283</v>
      </c>
      <c r="F158" s="36">
        <f>D158-E158</f>
        <v>-4.8100000000000087E-3</v>
      </c>
      <c r="G158" s="37">
        <f>IF(F158&gt;0,1,0)</f>
        <v>0</v>
      </c>
      <c r="H158" s="36">
        <v>8.6999999999999994E-2</v>
      </c>
      <c r="I158" s="36">
        <f>_xlfn.XLOOKUP(C158,Industry_Benchmark!$A$2:$A$82,Industry_Benchmark!$C$2:$C$82,"")</f>
        <v>7.8999999999999987E-2</v>
      </c>
      <c r="J158" s="36">
        <f>H158-I158</f>
        <v>8.0000000000000071E-3</v>
      </c>
      <c r="K158" s="37">
        <f>IF(J158&gt;0,1,0)</f>
        <v>1</v>
      </c>
      <c r="L158" s="35">
        <v>1.288</v>
      </c>
      <c r="M158" s="35">
        <f>_xlfn.XLOOKUP(C158,Industry_Benchmark!$A$2:$A$82,Industry_Benchmark!$D$2:$D$82,"")</f>
        <v>1.4965000000000002</v>
      </c>
      <c r="N158" s="35">
        <f>L158-M158</f>
        <v>-0.20850000000000013</v>
      </c>
      <c r="O158" s="35">
        <f>IF(N158&gt;0,1,0)</f>
        <v>0</v>
      </c>
      <c r="P158" s="36">
        <v>7.3860005000000006E-2</v>
      </c>
      <c r="Q158" s="36">
        <f>_xlfn.XLOOKUP(C158,Industry_Benchmark!$A$2:$A$82,Industry_Benchmark!$E$2:$E$82,"")</f>
        <v>9.1655002499999999E-2</v>
      </c>
      <c r="R158" s="36">
        <f>P158-Q158</f>
        <v>-1.7794997499999993E-2</v>
      </c>
      <c r="S158" s="37">
        <f>IF(R158&gt;0,1,0)</f>
        <v>0</v>
      </c>
      <c r="T158" s="35">
        <v>122.846</v>
      </c>
      <c r="U158" s="35">
        <f>_xlfn.XLOOKUP(C158,Industry_Benchmark!$A$2:$A$82,Industry_Benchmark!$F$2:$F$82,"")</f>
        <v>126.82900000000001</v>
      </c>
      <c r="V158" s="35">
        <f>T158-U158</f>
        <v>-3.9830000000000041</v>
      </c>
      <c r="W158" s="35">
        <f>IF(V158&gt;0,1,0)</f>
        <v>0</v>
      </c>
      <c r="X158" s="36">
        <v>0.30443999999999999</v>
      </c>
      <c r="Y158" s="36">
        <f>_xlfn.XLOOKUP(C158,Industry_Benchmark!$A$2:$A$82,Industry_Benchmark!$G$2:$G$82,"")</f>
        <v>0.37621999</v>
      </c>
      <c r="Z158" s="59">
        <f>X158-Y158</f>
        <v>-7.1779990000000016E-2</v>
      </c>
      <c r="AA158" s="35">
        <f>IF(Z158&gt;0,1,0)</f>
        <v>0</v>
      </c>
      <c r="AB158" s="60">
        <f>SUM(G158,K158,O158,S158,W158,AA158)</f>
        <v>1</v>
      </c>
      <c r="AC158" s="61">
        <f>AB158/6</f>
        <v>0.16666666666666666</v>
      </c>
      <c r="AD158" s="62" t="str" cm="1">
        <f t="array" ref="AD158">_xlfn.IFS(
AB158=6,"Excellent",
AB158=5,"Strong",
AB158=4,"Good",
AB158=3,"Average",
AB158&lt;=2,"Weak"
)</f>
        <v>Weak</v>
      </c>
    </row>
    <row r="159" spans="1:30" x14ac:dyDescent="0.3">
      <c r="A159" s="12" t="s">
        <v>198</v>
      </c>
      <c r="B159" s="10" t="s">
        <v>199</v>
      </c>
      <c r="C159" s="10" t="s">
        <v>197</v>
      </c>
      <c r="D159" s="36">
        <v>0.25530002000000002</v>
      </c>
      <c r="E159" s="36">
        <f>_xlfn.XLOOKUP(C159,Industry_Benchmark!$A$2:$A$82,Industry_Benchmark!$B$2:$B$82,"")</f>
        <v>0.29708666666666667</v>
      </c>
      <c r="F159" s="36">
        <f>D159-E159</f>
        <v>-4.1786646666666649E-2</v>
      </c>
      <c r="G159" s="37">
        <f>IF(F159&gt;0,1,0)</f>
        <v>0</v>
      </c>
      <c r="H159" s="36">
        <v>0.30599999999999999</v>
      </c>
      <c r="I159" s="36">
        <f>_xlfn.XLOOKUP(C159,Industry_Benchmark!$A$2:$A$82,Industry_Benchmark!$C$2:$C$82,"")</f>
        <v>0.33833333333333337</v>
      </c>
      <c r="J159" s="36">
        <f>H159-I159</f>
        <v>-3.2333333333333381E-2</v>
      </c>
      <c r="K159" s="37">
        <f>IF(J159&gt;0,1,0)</f>
        <v>0</v>
      </c>
      <c r="L159" s="35">
        <v>2.5390000000000001</v>
      </c>
      <c r="M159" s="35">
        <f>_xlfn.XLOOKUP(C159,Industry_Benchmark!$A$2:$A$82,Industry_Benchmark!$D$2:$D$82,"")</f>
        <v>2.7476666666666669</v>
      </c>
      <c r="N159" s="35">
        <f>L159-M159</f>
        <v>-0.20866666666666678</v>
      </c>
      <c r="O159" s="35">
        <f>IF(N159&gt;0,1,0)</f>
        <v>0</v>
      </c>
      <c r="P159" s="36">
        <v>0.18829000000000001</v>
      </c>
      <c r="Q159" s="36">
        <f>_xlfn.XLOOKUP(C159,Industry_Benchmark!$A$2:$A$82,Industry_Benchmark!$E$2:$E$82,"")</f>
        <v>0.18592000333333333</v>
      </c>
      <c r="R159" s="36">
        <f>P159-Q159</f>
        <v>2.3699966666666794E-3</v>
      </c>
      <c r="S159" s="37">
        <f>IF(R159&gt;0,1,0)</f>
        <v>1</v>
      </c>
      <c r="T159" s="35">
        <v>46.975000000000001</v>
      </c>
      <c r="U159" s="35">
        <f>_xlfn.XLOOKUP(C159,Industry_Benchmark!$A$2:$A$82,Industry_Benchmark!$F$2:$F$82,"")</f>
        <v>74.865666666666669</v>
      </c>
      <c r="V159" s="35">
        <f>T159-U159</f>
        <v>-27.890666666666668</v>
      </c>
      <c r="W159" s="35">
        <f>IF(V159&gt;0,1,0)</f>
        <v>0</v>
      </c>
      <c r="X159" s="36">
        <v>0.51593</v>
      </c>
      <c r="Y159" s="36">
        <f>_xlfn.XLOOKUP(C159,Industry_Benchmark!$A$2:$A$82,Industry_Benchmark!$G$2:$G$82,"")</f>
        <v>0.69937335000000012</v>
      </c>
      <c r="Z159" s="59">
        <f>X159-Y159</f>
        <v>-0.18344335000000012</v>
      </c>
      <c r="AA159" s="35">
        <f>IF(Z159&gt;0,1,0)</f>
        <v>0</v>
      </c>
      <c r="AB159" s="60">
        <f>SUM(G159,K159,O159,S159,W159,AA159)</f>
        <v>1</v>
      </c>
      <c r="AC159" s="61">
        <f>AB159/6</f>
        <v>0.16666666666666666</v>
      </c>
      <c r="AD159" s="62" t="str" cm="1">
        <f t="array" ref="AD159">_xlfn.IFS(
AB159=6,"Excellent",
AB159=5,"Strong",
AB159=4,"Good",
AB159=3,"Average",
AB159&lt;=2,"Weak"
)</f>
        <v>Weak</v>
      </c>
    </row>
    <row r="160" spans="1:30" x14ac:dyDescent="0.3">
      <c r="A160" s="12" t="s">
        <v>208</v>
      </c>
      <c r="B160" s="10" t="s">
        <v>209</v>
      </c>
      <c r="C160" s="10" t="s">
        <v>119</v>
      </c>
      <c r="D160" s="36">
        <v>3.986E-2</v>
      </c>
      <c r="E160" s="36">
        <f>_xlfn.XLOOKUP(C160,Industry_Benchmark!$A$2:$A$82,Industry_Benchmark!$B$2:$B$82,"")</f>
        <v>0.17165200400000002</v>
      </c>
      <c r="F160" s="36">
        <f>D160-E160</f>
        <v>-0.13179200400000002</v>
      </c>
      <c r="G160" s="37">
        <f>IF(F160&gt;0,1,0)</f>
        <v>0</v>
      </c>
      <c r="H160" s="36">
        <v>0.312</v>
      </c>
      <c r="I160" s="36">
        <f>_xlfn.XLOOKUP(C160,Industry_Benchmark!$A$2:$A$82,Industry_Benchmark!$C$2:$C$82,"")</f>
        <v>0.28060000000000002</v>
      </c>
      <c r="J160" s="36">
        <f>H160-I160</f>
        <v>3.1399999999999983E-2</v>
      </c>
      <c r="K160" s="37">
        <f>IF(J160&gt;0,1,0)</f>
        <v>1</v>
      </c>
      <c r="L160" s="35">
        <v>1.131</v>
      </c>
      <c r="M160" s="35">
        <f>_xlfn.XLOOKUP(C160,Industry_Benchmark!$A$2:$A$82,Industry_Benchmark!$D$2:$D$82,"")</f>
        <v>1.3602000000000001</v>
      </c>
      <c r="N160" s="35">
        <f>L160-M160</f>
        <v>-0.22920000000000007</v>
      </c>
      <c r="O160" s="35">
        <f>IF(N160&gt;0,1,0)</f>
        <v>0</v>
      </c>
      <c r="P160" s="36">
        <v>1.745E-2</v>
      </c>
      <c r="Q160" s="36">
        <f>_xlfn.XLOOKUP(C160,Industry_Benchmark!$A$2:$A$82,Industry_Benchmark!$E$2:$E$82,"")</f>
        <v>6.5944000000000003E-2</v>
      </c>
      <c r="R160" s="36">
        <f>P160-Q160</f>
        <v>-4.8494000000000002E-2</v>
      </c>
      <c r="S160" s="37">
        <f>IF(R160&gt;0,1,0)</f>
        <v>0</v>
      </c>
      <c r="T160" s="35">
        <v>63.015999999999998</v>
      </c>
      <c r="U160" s="35">
        <f>_xlfn.XLOOKUP(C160,Industry_Benchmark!$A$2:$A$82,Industry_Benchmark!$F$2:$F$82,"")</f>
        <v>73.073599999999999</v>
      </c>
      <c r="V160" s="35">
        <f>T160-U160</f>
        <v>-10.057600000000001</v>
      </c>
      <c r="W160" s="35">
        <f>IF(V160&gt;0,1,0)</f>
        <v>0</v>
      </c>
      <c r="X160" s="36">
        <v>7.1040004000000004E-2</v>
      </c>
      <c r="Y160" s="36">
        <f>_xlfn.XLOOKUP(C160,Industry_Benchmark!$A$2:$A$82,Industry_Benchmark!$G$2:$G$82,"")</f>
        <v>0.52347798119999989</v>
      </c>
      <c r="Z160" s="59">
        <f>X160-Y160</f>
        <v>-0.4524379771999999</v>
      </c>
      <c r="AA160" s="35">
        <f>IF(Z160&gt;0,1,0)</f>
        <v>0</v>
      </c>
      <c r="AB160" s="60">
        <f>SUM(G160,K160,O160,S160,W160,AA160)</f>
        <v>1</v>
      </c>
      <c r="AC160" s="61">
        <f>AB160/6</f>
        <v>0.16666666666666666</v>
      </c>
      <c r="AD160" s="62" t="str" cm="1">
        <f t="array" ref="AD160">_xlfn.IFS(
AB160=6,"Excellent",
AB160=5,"Strong",
AB160=4,"Good",
AB160=3,"Average",
AB160&lt;=2,"Weak"
)</f>
        <v>Weak</v>
      </c>
    </row>
    <row r="161" spans="1:30" x14ac:dyDescent="0.3">
      <c r="A161" s="12" t="s">
        <v>214</v>
      </c>
      <c r="B161" s="10" t="s">
        <v>215</v>
      </c>
      <c r="C161" s="10" t="s">
        <v>213</v>
      </c>
      <c r="D161" s="36">
        <v>0.30972</v>
      </c>
      <c r="E161" s="36">
        <f>_xlfn.XLOOKUP(C161,Industry_Benchmark!$A$2:$A$82,Industry_Benchmark!$B$2:$B$82,"")</f>
        <v>0.30562332333333336</v>
      </c>
      <c r="F161" s="36">
        <f>D161-E161</f>
        <v>4.0966766666666321E-3</v>
      </c>
      <c r="G161" s="37">
        <f>IF(F161&gt;0,1,0)</f>
        <v>1</v>
      </c>
      <c r="H161" s="36">
        <v>0.156</v>
      </c>
      <c r="I161" s="36">
        <f>_xlfn.XLOOKUP(C161,Industry_Benchmark!$A$2:$A$82,Industry_Benchmark!$C$2:$C$82,"")</f>
        <v>0.156</v>
      </c>
      <c r="J161" s="36">
        <f>H161-I161</f>
        <v>0</v>
      </c>
      <c r="K161" s="37">
        <f>IF(J161&gt;0,1,0)</f>
        <v>0</v>
      </c>
      <c r="L161" s="35">
        <v>1.427</v>
      </c>
      <c r="M161" s="35">
        <f>_xlfn.XLOOKUP(C161,Industry_Benchmark!$A$2:$A$82,Industry_Benchmark!$D$2:$D$82,"")</f>
        <v>2.0716666666666668</v>
      </c>
      <c r="N161" s="35">
        <f>L161-M161</f>
        <v>-0.64466666666666672</v>
      </c>
      <c r="O161" s="35">
        <f>IF(N161&gt;0,1,0)</f>
        <v>0</v>
      </c>
      <c r="P161" s="36">
        <v>2.7269999999999999E-2</v>
      </c>
      <c r="Q161" s="36">
        <f>_xlfn.XLOOKUP(C161,Industry_Benchmark!$A$2:$A$82,Industry_Benchmark!$E$2:$E$82,"")</f>
        <v>8.1486663333333334E-2</v>
      </c>
      <c r="R161" s="36">
        <f>P161-Q161</f>
        <v>-5.4216663333333331E-2</v>
      </c>
      <c r="S161" s="37">
        <f>IF(R161&gt;0,1,0)</f>
        <v>0</v>
      </c>
      <c r="T161" s="35">
        <v>21.949000000000002</v>
      </c>
      <c r="U161" s="35">
        <f>_xlfn.XLOOKUP(C161,Industry_Benchmark!$A$2:$A$82,Industry_Benchmark!$F$2:$F$82,"")</f>
        <v>31.016666666666666</v>
      </c>
      <c r="V161" s="35">
        <f>T161-U161</f>
        <v>-9.0676666666666641</v>
      </c>
      <c r="W161" s="35">
        <f>IF(V161&gt;0,1,0)</f>
        <v>0</v>
      </c>
      <c r="X161" s="36">
        <v>0.16974</v>
      </c>
      <c r="Y161" s="36">
        <f>_xlfn.XLOOKUP(C161,Industry_Benchmark!$A$2:$A$82,Industry_Benchmark!$G$2:$G$82,"")</f>
        <v>0.32167000000000001</v>
      </c>
      <c r="Z161" s="59">
        <f>X161-Y161</f>
        <v>-0.15193000000000001</v>
      </c>
      <c r="AA161" s="35">
        <f>IF(Z161&gt;0,1,0)</f>
        <v>0</v>
      </c>
      <c r="AB161" s="60">
        <f>SUM(G161,K161,O161,S161,W161,AA161)</f>
        <v>1</v>
      </c>
      <c r="AC161" s="61">
        <f>AB161/6</f>
        <v>0.16666666666666666</v>
      </c>
      <c r="AD161" s="62" t="str" cm="1">
        <f t="array" ref="AD161">_xlfn.IFS(
AB161=6,"Excellent",
AB161=5,"Strong",
AB161=4,"Good",
AB161=3,"Average",
AB161&lt;=2,"Weak"
)</f>
        <v>Weak</v>
      </c>
    </row>
    <row r="162" spans="1:30" x14ac:dyDescent="0.3">
      <c r="A162" s="12" t="s">
        <v>221</v>
      </c>
      <c r="B162" s="10" t="s">
        <v>222</v>
      </c>
      <c r="C162" s="10" t="s">
        <v>98</v>
      </c>
      <c r="D162" s="36">
        <v>8.3960000000000007E-2</v>
      </c>
      <c r="E162" s="36">
        <f>_xlfn.XLOOKUP(C162,Industry_Benchmark!$A$2:$A$82,Industry_Benchmark!$B$2:$B$82,"")</f>
        <v>0.10431499775</v>
      </c>
      <c r="F162" s="36">
        <f>D162-E162</f>
        <v>-2.0354997749999992E-2</v>
      </c>
      <c r="G162" s="37">
        <f>IF(F162&gt;0,1,0)</f>
        <v>0</v>
      </c>
      <c r="H162" s="36">
        <v>9.1999999999999998E-2</v>
      </c>
      <c r="I162" s="36">
        <f>_xlfn.XLOOKUP(C162,Industry_Benchmark!$A$2:$A$82,Industry_Benchmark!$C$2:$C$82,"")</f>
        <v>0.17549999999999999</v>
      </c>
      <c r="J162" s="36">
        <f>H162-I162</f>
        <v>-8.3499999999999991E-2</v>
      </c>
      <c r="K162" s="37">
        <f>IF(J162&gt;0,1,0)</f>
        <v>0</v>
      </c>
      <c r="L162" s="35">
        <v>0.28599999999999998</v>
      </c>
      <c r="M162" s="35">
        <f>_xlfn.XLOOKUP(C162,Industry_Benchmark!$A$2:$A$82,Industry_Benchmark!$D$2:$D$82,"")</f>
        <v>0.89124999999999999</v>
      </c>
      <c r="N162" s="35">
        <f>L162-M162</f>
        <v>-0.60525000000000007</v>
      </c>
      <c r="O162" s="35">
        <f>IF(N162&gt;0,1,0)</f>
        <v>0</v>
      </c>
      <c r="P162" s="36">
        <v>4.6019999999999998E-2</v>
      </c>
      <c r="Q162" s="36">
        <f>_xlfn.XLOOKUP(C162,Industry_Benchmark!$A$2:$A$82,Industry_Benchmark!$E$2:$E$82,"")</f>
        <v>5.0625000125E-2</v>
      </c>
      <c r="R162" s="36">
        <f>P162-Q162</f>
        <v>-4.6050001250000014E-3</v>
      </c>
      <c r="S162" s="37">
        <f>IF(R162&gt;0,1,0)</f>
        <v>0</v>
      </c>
      <c r="T162" s="35">
        <v>417.43</v>
      </c>
      <c r="U162" s="35">
        <f>_xlfn.XLOOKUP(C162,Industry_Benchmark!$A$2:$A$82,Industry_Benchmark!$F$2:$F$82,"")</f>
        <v>174.17824999999999</v>
      </c>
      <c r="V162" s="35">
        <f>T162-U162</f>
        <v>243.25175000000002</v>
      </c>
      <c r="W162" s="35">
        <f>IF(V162&gt;0,1,0)</f>
        <v>1</v>
      </c>
      <c r="X162" s="36">
        <v>0.17694001000000001</v>
      </c>
      <c r="Y162" s="36">
        <f>_xlfn.XLOOKUP(C162,Industry_Benchmark!$A$2:$A$82,Industry_Benchmark!$G$2:$G$82,"")</f>
        <v>0.18733000275</v>
      </c>
      <c r="Z162" s="59">
        <f>X162-Y162</f>
        <v>-1.0389992749999993E-2</v>
      </c>
      <c r="AA162" s="35">
        <f>IF(Z162&gt;0,1,0)</f>
        <v>0</v>
      </c>
      <c r="AB162" s="60">
        <f>SUM(G162,K162,O162,S162,W162,AA162)</f>
        <v>1</v>
      </c>
      <c r="AC162" s="61">
        <f>AB162/6</f>
        <v>0.16666666666666666</v>
      </c>
      <c r="AD162" s="62" t="str" cm="1">
        <f t="array" ref="AD162">_xlfn.IFS(
AB162=6,"Excellent",
AB162=5,"Strong",
AB162=4,"Good",
AB162=3,"Average",
AB162&lt;=2,"Weak"
)</f>
        <v>Weak</v>
      </c>
    </row>
    <row r="163" spans="1:30" x14ac:dyDescent="0.3">
      <c r="A163" s="12" t="s">
        <v>231</v>
      </c>
      <c r="B163" s="10" t="s">
        <v>232</v>
      </c>
      <c r="C163" s="10" t="s">
        <v>141</v>
      </c>
      <c r="D163" s="36">
        <v>0.14468998999999999</v>
      </c>
      <c r="E163" s="36">
        <f>_xlfn.XLOOKUP(C163,Industry_Benchmark!$A$2:$A$82,Industry_Benchmark!$B$2:$B$82,"")</f>
        <v>0.19883250750000001</v>
      </c>
      <c r="F163" s="36">
        <f>D163-E163</f>
        <v>-5.4142517500000015E-2</v>
      </c>
      <c r="G163" s="37">
        <f>IF(F163&gt;0,1,0)</f>
        <v>0</v>
      </c>
      <c r="H163" s="36">
        <v>0.193</v>
      </c>
      <c r="I163" s="36">
        <f>_xlfn.XLOOKUP(C163,Industry_Benchmark!$A$2:$A$82,Industry_Benchmark!$C$2:$C$82,"")</f>
        <v>0.157</v>
      </c>
      <c r="J163" s="36">
        <f>H163-I163</f>
        <v>3.6000000000000004E-2</v>
      </c>
      <c r="K163" s="37">
        <f>IF(J163&gt;0,1,0)</f>
        <v>1</v>
      </c>
      <c r="L163" s="35">
        <v>0.81299999999999994</v>
      </c>
      <c r="M163" s="35">
        <f>_xlfn.XLOOKUP(C163,Industry_Benchmark!$A$2:$A$82,Industry_Benchmark!$D$2:$D$82,"")</f>
        <v>1.3137500000000002</v>
      </c>
      <c r="N163" s="35">
        <f>L163-M163</f>
        <v>-0.50075000000000025</v>
      </c>
      <c r="O163" s="35">
        <f>IF(N163&gt;0,1,0)</f>
        <v>0</v>
      </c>
      <c r="P163" s="36">
        <v>0.104770005</v>
      </c>
      <c r="Q163" s="36">
        <f>_xlfn.XLOOKUP(C163,Industry_Benchmark!$A$2:$A$82,Industry_Benchmark!$E$2:$E$82,"")</f>
        <v>0.13219250124999998</v>
      </c>
      <c r="R163" s="36">
        <f>P163-Q163</f>
        <v>-2.7422496249999984E-2</v>
      </c>
      <c r="S163" s="37">
        <f>IF(R163&gt;0,1,0)</f>
        <v>0</v>
      </c>
      <c r="T163" s="35">
        <v>0</v>
      </c>
      <c r="U163" s="35">
        <f>_xlfn.XLOOKUP(C163,Industry_Benchmark!$A$2:$A$82,Industry_Benchmark!$F$2:$F$82,"")</f>
        <v>38.308</v>
      </c>
      <c r="V163" s="35">
        <f>T163-U163</f>
        <v>-38.308</v>
      </c>
      <c r="W163" s="35">
        <f>IF(V163&gt;0,1,0)</f>
        <v>0</v>
      </c>
      <c r="X163" s="36"/>
      <c r="Y163" s="36">
        <f>_xlfn.XLOOKUP(C163,Industry_Benchmark!$A$2:$A$82,Industry_Benchmark!$G$2:$G$82,"")</f>
        <v>0.30247997999999998</v>
      </c>
      <c r="Z163" s="59">
        <f>X163-Y163</f>
        <v>-0.30247997999999998</v>
      </c>
      <c r="AA163" s="35">
        <f>IF(Z163&gt;0,1,0)</f>
        <v>0</v>
      </c>
      <c r="AB163" s="60">
        <f>SUM(G163,K163,O163,S163,W163,AA163)</f>
        <v>1</v>
      </c>
      <c r="AC163" s="61">
        <f>AB163/6</f>
        <v>0.16666666666666666</v>
      </c>
      <c r="AD163" s="62" t="str" cm="1">
        <f t="array" ref="AD163">_xlfn.IFS(
AB163=6,"Excellent",
AB163=5,"Strong",
AB163=4,"Good",
AB163=3,"Average",
AB163&lt;=2,"Weak"
)</f>
        <v>Weak</v>
      </c>
    </row>
    <row r="164" spans="1:30" x14ac:dyDescent="0.3">
      <c r="A164" s="12" t="s">
        <v>235</v>
      </c>
      <c r="B164" s="10" t="s">
        <v>236</v>
      </c>
      <c r="C164" s="10" t="s">
        <v>126</v>
      </c>
      <c r="D164" s="36">
        <v>0.113979995</v>
      </c>
      <c r="E164" s="36">
        <f>_xlfn.XLOOKUP(C164,Industry_Benchmark!$A$2:$A$82,Industry_Benchmark!$B$2:$B$82,"")</f>
        <v>0.17781714214285715</v>
      </c>
      <c r="F164" s="36">
        <f>D164-E164</f>
        <v>-6.3837147142857154E-2</v>
      </c>
      <c r="G164" s="37">
        <f>IF(F164&gt;0,1,0)</f>
        <v>0</v>
      </c>
      <c r="H164" s="36">
        <v>0.113</v>
      </c>
      <c r="I164" s="36">
        <f>_xlfn.XLOOKUP(C164,Industry_Benchmark!$A$2:$A$82,Industry_Benchmark!$C$2:$C$82,"")</f>
        <v>0.16085714285714284</v>
      </c>
      <c r="J164" s="36">
        <f>H164-I164</f>
        <v>-4.7857142857142834E-2</v>
      </c>
      <c r="K164" s="37">
        <f>IF(J164&gt;0,1,0)</f>
        <v>0</v>
      </c>
      <c r="L164" s="35">
        <v>2.1259999999999999</v>
      </c>
      <c r="M164" s="35">
        <f>_xlfn.XLOOKUP(C164,Industry_Benchmark!$A$2:$A$82,Industry_Benchmark!$D$2:$D$82,"")</f>
        <v>2.5379999999999998</v>
      </c>
      <c r="N164" s="35">
        <f>L164-M164</f>
        <v>-0.41199999999999992</v>
      </c>
      <c r="O164" s="35">
        <f>IF(N164&gt;0,1,0)</f>
        <v>0</v>
      </c>
      <c r="P164" s="36">
        <v>6.8849999999999995E-2</v>
      </c>
      <c r="Q164" s="36">
        <f>_xlfn.XLOOKUP(C164,Industry_Benchmark!$A$2:$A$82,Industry_Benchmark!$E$2:$E$82,"")</f>
        <v>7.492714242857143E-2</v>
      </c>
      <c r="R164" s="36">
        <f>P164-Q164</f>
        <v>-6.0771424285714359E-3</v>
      </c>
      <c r="S164" s="37">
        <f>IF(R164&gt;0,1,0)</f>
        <v>0</v>
      </c>
      <c r="T164" s="35">
        <v>92.093000000000004</v>
      </c>
      <c r="U164" s="35">
        <f>_xlfn.XLOOKUP(C164,Industry_Benchmark!$A$2:$A$82,Industry_Benchmark!$F$2:$F$82,"")</f>
        <v>50.663714285714285</v>
      </c>
      <c r="V164" s="35">
        <f>T164-U164</f>
        <v>41.429285714285719</v>
      </c>
      <c r="W164" s="35">
        <f>IF(V164&gt;0,1,0)</f>
        <v>1</v>
      </c>
      <c r="X164" s="36">
        <v>0.13988999999999999</v>
      </c>
      <c r="Y164" s="36">
        <f>_xlfn.XLOOKUP(C164,Industry_Benchmark!$A$2:$A$82,Industry_Benchmark!$G$2:$G$82,"")</f>
        <v>0.18974000000000002</v>
      </c>
      <c r="Z164" s="59">
        <f>X164-Y164</f>
        <v>-4.9850000000000033E-2</v>
      </c>
      <c r="AA164" s="35">
        <f>IF(Z164&gt;0,1,0)</f>
        <v>0</v>
      </c>
      <c r="AB164" s="60">
        <f>SUM(G164,K164,O164,S164,W164,AA164)</f>
        <v>1</v>
      </c>
      <c r="AC164" s="61">
        <f>AB164/6</f>
        <v>0.16666666666666666</v>
      </c>
      <c r="AD164" s="62" t="str" cm="1">
        <f t="array" ref="AD164">_xlfn.IFS(
AB164=6,"Excellent",
AB164=5,"Strong",
AB164=4,"Good",
AB164=3,"Average",
AB164&lt;=2,"Weak"
)</f>
        <v>Weak</v>
      </c>
    </row>
    <row r="165" spans="1:30" x14ac:dyDescent="0.3">
      <c r="A165" s="12" t="s">
        <v>251</v>
      </c>
      <c r="B165" s="10" t="s">
        <v>252</v>
      </c>
      <c r="C165" s="10" t="s">
        <v>179</v>
      </c>
      <c r="D165" s="36">
        <v>0.52595999999999998</v>
      </c>
      <c r="E165" s="36">
        <f>_xlfn.XLOOKUP(C165,Industry_Benchmark!$A$2:$A$82,Industry_Benchmark!$B$2:$B$82,"")</f>
        <v>0.40717199600000004</v>
      </c>
      <c r="F165" s="36">
        <f>D165-E165</f>
        <v>0.11878800399999995</v>
      </c>
      <c r="G165" s="37">
        <f>IF(F165&gt;0,1,0)</f>
        <v>1</v>
      </c>
      <c r="H165" s="36">
        <v>2.8000000000000001E-2</v>
      </c>
      <c r="I165" s="36">
        <f>_xlfn.XLOOKUP(C165,Industry_Benchmark!$A$2:$A$82,Industry_Benchmark!$C$2:$C$82,"")</f>
        <v>0.15279999999999999</v>
      </c>
      <c r="J165" s="36">
        <f>H165-I165</f>
        <v>-0.12479999999999999</v>
      </c>
      <c r="K165" s="37">
        <f>IF(J165&gt;0,1,0)</f>
        <v>0</v>
      </c>
      <c r="L165" s="35">
        <v>1.008</v>
      </c>
      <c r="M165" s="35">
        <f>_xlfn.XLOOKUP(C165,Industry_Benchmark!$A$2:$A$82,Industry_Benchmark!$D$2:$D$82,"")</f>
        <v>1.5326</v>
      </c>
      <c r="N165" s="35">
        <f>L165-M165</f>
        <v>-0.52459999999999996</v>
      </c>
      <c r="O165" s="35">
        <f>IF(N165&gt;0,1,0)</f>
        <v>0</v>
      </c>
      <c r="P165" s="36">
        <v>1.026E-2</v>
      </c>
      <c r="Q165" s="36">
        <f>_xlfn.XLOOKUP(C165,Industry_Benchmark!$A$2:$A$82,Industry_Benchmark!$E$2:$E$82,"")</f>
        <v>0.10174799999999999</v>
      </c>
      <c r="R165" s="36">
        <f>P165-Q165</f>
        <v>-9.1487999999999986E-2</v>
      </c>
      <c r="S165" s="37">
        <f>IF(R165&gt;0,1,0)</f>
        <v>0</v>
      </c>
      <c r="T165" s="35">
        <v>14.81</v>
      </c>
      <c r="U165" s="35">
        <f>_xlfn.XLOOKUP(C165,Industry_Benchmark!$A$2:$A$82,Industry_Benchmark!$F$2:$F$82,"")</f>
        <v>95.873400000000004</v>
      </c>
      <c r="V165" s="35">
        <f>T165-U165</f>
        <v>-81.063400000000001</v>
      </c>
      <c r="W165" s="35">
        <f>IF(V165&gt;0,1,0)</f>
        <v>0</v>
      </c>
      <c r="X165" s="36">
        <v>8.9750010000000005E-2</v>
      </c>
      <c r="Y165" s="36">
        <f>_xlfn.XLOOKUP(C165,Industry_Benchmark!$A$2:$A$82,Industry_Benchmark!$G$2:$G$82,"")</f>
        <v>0.48719750249999999</v>
      </c>
      <c r="Z165" s="59">
        <f>X165-Y165</f>
        <v>-0.3974474925</v>
      </c>
      <c r="AA165" s="35">
        <f>IF(Z165&gt;0,1,0)</f>
        <v>0</v>
      </c>
      <c r="AB165" s="60">
        <f>SUM(G165,K165,O165,S165,W165,AA165)</f>
        <v>1</v>
      </c>
      <c r="AC165" s="61">
        <f>AB165/6</f>
        <v>0.16666666666666666</v>
      </c>
      <c r="AD165" s="62" t="str" cm="1">
        <f t="array" ref="AD165">_xlfn.IFS(
AB165=6,"Excellent",
AB165=5,"Strong",
AB165=4,"Good",
AB165=3,"Average",
AB165&lt;=2,"Weak"
)</f>
        <v>Weak</v>
      </c>
    </row>
    <row r="166" spans="1:30" x14ac:dyDescent="0.3">
      <c r="A166" s="12" t="s">
        <v>255</v>
      </c>
      <c r="B166" s="10" t="s">
        <v>256</v>
      </c>
      <c r="C166" s="10" t="s">
        <v>57</v>
      </c>
      <c r="D166" s="36">
        <v>0.18998999999999999</v>
      </c>
      <c r="E166" s="36">
        <f>_xlfn.XLOOKUP(C166,Industry_Benchmark!$A$2:$A$82,Industry_Benchmark!$B$2:$B$82,"")</f>
        <v>0.24659300000000001</v>
      </c>
      <c r="F166" s="36">
        <f>D166-E166</f>
        <v>-5.6603000000000014E-2</v>
      </c>
      <c r="G166" s="37">
        <f>IF(F166&gt;0,1,0)</f>
        <v>0</v>
      </c>
      <c r="H166" s="36">
        <v>0.53300000000000003</v>
      </c>
      <c r="I166" s="36">
        <f>_xlfn.XLOOKUP(C166,Industry_Benchmark!$A$2:$A$82,Industry_Benchmark!$C$2:$C$82,"")</f>
        <v>0.30759999999999998</v>
      </c>
      <c r="J166" s="36">
        <f>H166-I166</f>
        <v>0.22540000000000004</v>
      </c>
      <c r="K166" s="37">
        <f>IF(J166&gt;0,1,0)</f>
        <v>1</v>
      </c>
      <c r="L166" s="35">
        <v>1.9410000000000001</v>
      </c>
      <c r="M166" s="35">
        <f>_xlfn.XLOOKUP(C166,Industry_Benchmark!$A$2:$A$82,Industry_Benchmark!$D$2:$D$82,"")</f>
        <v>2.9108000000000001</v>
      </c>
      <c r="N166" s="35">
        <f>L166-M166</f>
        <v>-0.9698</v>
      </c>
      <c r="O166" s="35">
        <f>IF(N166&gt;0,1,0)</f>
        <v>0</v>
      </c>
      <c r="P166" s="36">
        <v>3.0040000000000001E-2</v>
      </c>
      <c r="Q166" s="36">
        <f>_xlfn.XLOOKUP(C166,Industry_Benchmark!$A$2:$A$82,Industry_Benchmark!$E$2:$E$82,"")</f>
        <v>0.1215560017</v>
      </c>
      <c r="R166" s="36">
        <f>P166-Q166</f>
        <v>-9.1516001700000002E-2</v>
      </c>
      <c r="S166" s="37">
        <f>IF(R166&gt;0,1,0)</f>
        <v>0</v>
      </c>
      <c r="T166" s="35">
        <v>18.736000000000001</v>
      </c>
      <c r="U166" s="35">
        <f>_xlfn.XLOOKUP(C166,Industry_Benchmark!$A$2:$A$82,Industry_Benchmark!$F$2:$F$82,"")</f>
        <v>77.073399999999992</v>
      </c>
      <c r="V166" s="35">
        <f>T166-U166</f>
        <v>-58.337399999999988</v>
      </c>
      <c r="W166" s="35">
        <f>IF(V166&gt;0,1,0)</f>
        <v>0</v>
      </c>
      <c r="X166" s="36">
        <v>5.5630001999999998E-2</v>
      </c>
      <c r="Y166" s="36">
        <f>_xlfn.XLOOKUP(C166,Industry_Benchmark!$A$2:$A$82,Industry_Benchmark!$G$2:$G$82,"")</f>
        <v>0.37541199820000004</v>
      </c>
      <c r="Z166" s="59">
        <f>X166-Y166</f>
        <v>-0.31978199620000003</v>
      </c>
      <c r="AA166" s="35">
        <f>IF(Z166&gt;0,1,0)</f>
        <v>0</v>
      </c>
      <c r="AB166" s="60">
        <f>SUM(G166,K166,O166,S166,W166,AA166)</f>
        <v>1</v>
      </c>
      <c r="AC166" s="61">
        <f>AB166/6</f>
        <v>0.16666666666666666</v>
      </c>
      <c r="AD166" s="62" t="str" cm="1">
        <f t="array" ref="AD166">_xlfn.IFS(
AB166=6,"Excellent",
AB166=5,"Strong",
AB166=4,"Good",
AB166=3,"Average",
AB166&lt;=2,"Weak"
)</f>
        <v>Weak</v>
      </c>
    </row>
    <row r="167" spans="1:30" x14ac:dyDescent="0.3">
      <c r="A167" s="12" t="s">
        <v>258</v>
      </c>
      <c r="B167" s="10" t="s">
        <v>259</v>
      </c>
      <c r="C167" s="10" t="s">
        <v>257</v>
      </c>
      <c r="D167" s="36">
        <v>0.15701999999999999</v>
      </c>
      <c r="E167" s="36">
        <f>_xlfn.XLOOKUP(C167,Industry_Benchmark!$A$2:$A$82,Industry_Benchmark!$B$2:$B$82,"")</f>
        <v>0.160855</v>
      </c>
      <c r="F167" s="36">
        <f>D167-E167</f>
        <v>-3.8350000000000051E-3</v>
      </c>
      <c r="G167" s="37">
        <f>IF(F167&gt;0,1,0)</f>
        <v>0</v>
      </c>
      <c r="H167" s="36">
        <v>7.8E-2</v>
      </c>
      <c r="I167" s="36">
        <f>_xlfn.XLOOKUP(C167,Industry_Benchmark!$A$2:$A$82,Industry_Benchmark!$C$2:$C$82,"")</f>
        <v>7.1000000000000008E-2</v>
      </c>
      <c r="J167" s="36">
        <f>H167-I167</f>
        <v>6.9999999999999923E-3</v>
      </c>
      <c r="K167" s="37">
        <f>IF(J167&gt;0,1,0)</f>
        <v>1</v>
      </c>
      <c r="L167" s="35">
        <v>0.73299999999999998</v>
      </c>
      <c r="M167" s="35">
        <f>_xlfn.XLOOKUP(C167,Industry_Benchmark!$A$2:$A$82,Industry_Benchmark!$D$2:$D$82,"")</f>
        <v>0.81699999999999995</v>
      </c>
      <c r="N167" s="35">
        <f>L167-M167</f>
        <v>-8.3999999999999964E-2</v>
      </c>
      <c r="O167" s="35">
        <f>IF(N167&gt;0,1,0)</f>
        <v>0</v>
      </c>
      <c r="P167" s="36">
        <v>4.7280002000000002E-2</v>
      </c>
      <c r="Q167" s="36">
        <f>_xlfn.XLOOKUP(C167,Industry_Benchmark!$A$2:$A$82,Industry_Benchmark!$E$2:$E$82,"")</f>
        <v>8.9150006000000004E-2</v>
      </c>
      <c r="R167" s="36">
        <f>P167-Q167</f>
        <v>-4.1870004000000002E-2</v>
      </c>
      <c r="S167" s="37">
        <f>IF(R167&gt;0,1,0)</f>
        <v>0</v>
      </c>
      <c r="T167" s="35">
        <v>73.834000000000003</v>
      </c>
      <c r="U167" s="35">
        <f>_xlfn.XLOOKUP(C167,Industry_Benchmark!$A$2:$A$82,Industry_Benchmark!$F$2:$F$82,"")</f>
        <v>134.4075</v>
      </c>
      <c r="V167" s="35">
        <f>T167-U167</f>
        <v>-60.573499999999996</v>
      </c>
      <c r="W167" s="35">
        <f>IF(V167&gt;0,1,0)</f>
        <v>0</v>
      </c>
      <c r="X167" s="36">
        <v>0.16311999999999999</v>
      </c>
      <c r="Y167" s="36">
        <f>_xlfn.XLOOKUP(C167,Industry_Benchmark!$A$2:$A$82,Industry_Benchmark!$G$2:$G$82,"")</f>
        <v>0.37841499999999995</v>
      </c>
      <c r="Z167" s="59">
        <f>X167-Y167</f>
        <v>-0.21529499999999996</v>
      </c>
      <c r="AA167" s="35">
        <f>IF(Z167&gt;0,1,0)</f>
        <v>0</v>
      </c>
      <c r="AB167" s="60">
        <f>SUM(G167,K167,O167,S167,W167,AA167)</f>
        <v>1</v>
      </c>
      <c r="AC167" s="61">
        <f>AB167/6</f>
        <v>0.16666666666666666</v>
      </c>
      <c r="AD167" s="62" t="str" cm="1">
        <f t="array" ref="AD167">_xlfn.IFS(
AB167=6,"Excellent",
AB167=5,"Strong",
AB167=4,"Good",
AB167=3,"Average",
AB167&lt;=2,"Weak"
)</f>
        <v>Weak</v>
      </c>
    </row>
    <row r="168" spans="1:30" x14ac:dyDescent="0.3">
      <c r="A168" s="12" t="s">
        <v>280</v>
      </c>
      <c r="B168" s="10" t="s">
        <v>281</v>
      </c>
      <c r="C168" s="10" t="s">
        <v>226</v>
      </c>
      <c r="D168" s="36">
        <v>0.103319995</v>
      </c>
      <c r="E168" s="36">
        <f>_xlfn.XLOOKUP(C168,Industry_Benchmark!$A$2:$A$82,Industry_Benchmark!$B$2:$B$82,"")</f>
        <v>0.16214249875</v>
      </c>
      <c r="F168" s="36">
        <f>D168-E168</f>
        <v>-5.8822503750000005E-2</v>
      </c>
      <c r="G168" s="37">
        <f>IF(F168&gt;0,1,0)</f>
        <v>0</v>
      </c>
      <c r="H168" s="36">
        <v>7.2999999999999995E-2</v>
      </c>
      <c r="I168" s="36">
        <f>_xlfn.XLOOKUP(C168,Industry_Benchmark!$A$2:$A$82,Industry_Benchmark!$C$2:$C$82,"")</f>
        <v>0.13175000000000001</v>
      </c>
      <c r="J168" s="36">
        <f>H168-I168</f>
        <v>-5.8750000000000011E-2</v>
      </c>
      <c r="K168" s="37">
        <f>IF(J168&gt;0,1,0)</f>
        <v>0</v>
      </c>
      <c r="L168" s="35">
        <v>1.3340000000000001</v>
      </c>
      <c r="M168" s="35">
        <f>_xlfn.XLOOKUP(C168,Industry_Benchmark!$A$2:$A$82,Industry_Benchmark!$D$2:$D$82,"")</f>
        <v>2.8327499999999999</v>
      </c>
      <c r="N168" s="35">
        <f>L168-M168</f>
        <v>-1.4987499999999998</v>
      </c>
      <c r="O168" s="35">
        <f>IF(N168&gt;0,1,0)</f>
        <v>0</v>
      </c>
      <c r="P168" s="36">
        <v>3.9039999999999998E-2</v>
      </c>
      <c r="Q168" s="36">
        <f>_xlfn.XLOOKUP(C168,Industry_Benchmark!$A$2:$A$82,Industry_Benchmark!$E$2:$E$82,"")</f>
        <v>8.047999950000001E-2</v>
      </c>
      <c r="R168" s="36">
        <f>P168-Q168</f>
        <v>-4.1439999500000012E-2</v>
      </c>
      <c r="S168" s="37">
        <f>IF(R168&gt;0,1,0)</f>
        <v>0</v>
      </c>
      <c r="T168" s="35">
        <v>76.361000000000004</v>
      </c>
      <c r="U168" s="35">
        <f>_xlfn.XLOOKUP(C168,Industry_Benchmark!$A$2:$A$82,Industry_Benchmark!$F$2:$F$82,"")</f>
        <v>45.386000000000003</v>
      </c>
      <c r="V168" s="35">
        <f>T168-U168</f>
        <v>30.975000000000001</v>
      </c>
      <c r="W168" s="35">
        <f>IF(V168&gt;0,1,0)</f>
        <v>1</v>
      </c>
      <c r="X168" s="36">
        <v>8.8190004000000002E-2</v>
      </c>
      <c r="Y168" s="36">
        <f>_xlfn.XLOOKUP(C168,Industry_Benchmark!$A$2:$A$82,Industry_Benchmark!$G$2:$G$82,"")</f>
        <v>0.140782501</v>
      </c>
      <c r="Z168" s="59">
        <f>X168-Y168</f>
        <v>-5.2592497000000002E-2</v>
      </c>
      <c r="AA168" s="35">
        <f>IF(Z168&gt;0,1,0)</f>
        <v>0</v>
      </c>
      <c r="AB168" s="60">
        <f>SUM(G168,K168,O168,S168,W168,AA168)</f>
        <v>1</v>
      </c>
      <c r="AC168" s="61">
        <f>AB168/6</f>
        <v>0.16666666666666666</v>
      </c>
      <c r="AD168" s="62" t="str" cm="1">
        <f t="array" ref="AD168">_xlfn.IFS(
AB168=6,"Excellent",
AB168=5,"Strong",
AB168=4,"Good",
AB168=3,"Average",
AB168&lt;=2,"Weak"
)</f>
        <v>Weak</v>
      </c>
    </row>
    <row r="169" spans="1:30" x14ac:dyDescent="0.3">
      <c r="A169" s="12" t="s">
        <v>307</v>
      </c>
      <c r="B169" s="10" t="s">
        <v>308</v>
      </c>
      <c r="C169" s="10" t="s">
        <v>165</v>
      </c>
      <c r="D169" s="36">
        <v>8.4659990000000004E-2</v>
      </c>
      <c r="E169" s="36">
        <f>_xlfn.XLOOKUP(C169,Industry_Benchmark!$A$2:$A$82,Industry_Benchmark!$B$2:$B$82,"")</f>
        <v>8.6845711000000006E-2</v>
      </c>
      <c r="F169" s="36">
        <f>D169-E169</f>
        <v>-2.1857210000000016E-3</v>
      </c>
      <c r="G169" s="37">
        <f>IF(F169&gt;0,1,0)</f>
        <v>0</v>
      </c>
      <c r="H169" s="36">
        <v>-1.7999999999999999E-2</v>
      </c>
      <c r="I169" s="36">
        <f>_xlfn.XLOOKUP(C169,Industry_Benchmark!$A$2:$A$82,Industry_Benchmark!$C$2:$C$82,"")</f>
        <v>-5.5714285714285701E-3</v>
      </c>
      <c r="J169" s="36">
        <f>H169-I169</f>
        <v>-1.2428571428571428E-2</v>
      </c>
      <c r="K169" s="37">
        <f>IF(J169&gt;0,1,0)</f>
        <v>0</v>
      </c>
      <c r="L169" s="35">
        <v>1.43</v>
      </c>
      <c r="M169" s="35">
        <f>_xlfn.XLOOKUP(C169,Industry_Benchmark!$A$2:$A$82,Industry_Benchmark!$D$2:$D$82,"")</f>
        <v>1.9000000000000001</v>
      </c>
      <c r="N169" s="35">
        <f>L169-M169</f>
        <v>-0.4700000000000002</v>
      </c>
      <c r="O169" s="35">
        <f>IF(N169&gt;0,1,0)</f>
        <v>0</v>
      </c>
      <c r="P169" s="36">
        <v>5.4019999999999999E-2</v>
      </c>
      <c r="Q169" s="36">
        <f>_xlfn.XLOOKUP(C169,Industry_Benchmark!$A$2:$A$82,Industry_Benchmark!$E$2:$E$82,"")</f>
        <v>5.5819999142857138E-2</v>
      </c>
      <c r="R169" s="36">
        <f>P169-Q169</f>
        <v>-1.7999991428571394E-3</v>
      </c>
      <c r="S169" s="37">
        <f>IF(R169&gt;0,1,0)</f>
        <v>0</v>
      </c>
      <c r="T169" s="35">
        <v>74.683999999999997</v>
      </c>
      <c r="U169" s="35">
        <f>_xlfn.XLOOKUP(C169,Industry_Benchmark!$A$2:$A$82,Industry_Benchmark!$F$2:$F$82,"")</f>
        <v>56.095714285714287</v>
      </c>
      <c r="V169" s="35">
        <f>T169-U169</f>
        <v>18.588285714285711</v>
      </c>
      <c r="W169" s="35">
        <f>IF(V169&gt;0,1,0)</f>
        <v>1</v>
      </c>
      <c r="X169" s="36">
        <v>0.19559999</v>
      </c>
      <c r="Y169" s="36">
        <f>_xlfn.XLOOKUP(C169,Industry_Benchmark!$A$2:$A$82,Industry_Benchmark!$G$2:$G$82,"")</f>
        <v>0.33201799800000004</v>
      </c>
      <c r="Z169" s="59">
        <f>X169-Y169</f>
        <v>-0.13641800800000004</v>
      </c>
      <c r="AA169" s="35">
        <f>IF(Z169&gt;0,1,0)</f>
        <v>0</v>
      </c>
      <c r="AB169" s="60">
        <f>SUM(G169,K169,O169,S169,W169,AA169)</f>
        <v>1</v>
      </c>
      <c r="AC169" s="61">
        <f>AB169/6</f>
        <v>0.16666666666666666</v>
      </c>
      <c r="AD169" s="62" t="str" cm="1">
        <f t="array" ref="AD169">_xlfn.IFS(
AB169=6,"Excellent",
AB169=5,"Strong",
AB169=4,"Good",
AB169=3,"Average",
AB169&lt;=2,"Weak"
)</f>
        <v>Weak</v>
      </c>
    </row>
    <row r="170" spans="1:30" x14ac:dyDescent="0.3">
      <c r="A170" s="12" t="s">
        <v>319</v>
      </c>
      <c r="B170" s="10" t="s">
        <v>320</v>
      </c>
      <c r="C170" s="10" t="s">
        <v>113</v>
      </c>
      <c r="D170" s="36">
        <v>8.2339999999999997E-2</v>
      </c>
      <c r="E170" s="36">
        <f>_xlfn.XLOOKUP(C170,Industry_Benchmark!$A$2:$A$82,Industry_Benchmark!$B$2:$B$82,"")</f>
        <v>8.1440000400000018E-2</v>
      </c>
      <c r="F170" s="36">
        <f>D170-E170</f>
        <v>8.9999959999997881E-4</v>
      </c>
      <c r="G170" s="37">
        <f>IF(F170&gt;0,1,0)</f>
        <v>1</v>
      </c>
      <c r="H170" s="36">
        <v>0.1</v>
      </c>
      <c r="I170" s="36">
        <f>_xlfn.XLOOKUP(C170,Industry_Benchmark!$A$2:$A$82,Industry_Benchmark!$C$2:$C$82,"")</f>
        <v>0.12479999999999999</v>
      </c>
      <c r="J170" s="36">
        <f>H170-I170</f>
        <v>-2.4799999999999989E-2</v>
      </c>
      <c r="K170" s="37">
        <f>IF(J170&gt;0,1,0)</f>
        <v>0</v>
      </c>
      <c r="L170" s="35">
        <v>1.0489999999999999</v>
      </c>
      <c r="M170" s="35">
        <f>_xlfn.XLOOKUP(C170,Industry_Benchmark!$A$2:$A$82,Industry_Benchmark!$D$2:$D$82,"")</f>
        <v>1.1856</v>
      </c>
      <c r="N170" s="35">
        <f>L170-M170</f>
        <v>-0.13660000000000005</v>
      </c>
      <c r="O170" s="35">
        <f>IF(N170&gt;0,1,0)</f>
        <v>0</v>
      </c>
      <c r="P170" s="36">
        <v>2.0879999999999999E-2</v>
      </c>
      <c r="Q170" s="36">
        <f>_xlfn.XLOOKUP(C170,Industry_Benchmark!$A$2:$A$82,Industry_Benchmark!$E$2:$E$82,"")</f>
        <v>5.8694001199999998E-2</v>
      </c>
      <c r="R170" s="36">
        <f>P170-Q170</f>
        <v>-3.7814001200000003E-2</v>
      </c>
      <c r="S170" s="37">
        <f>IF(R170&gt;0,1,0)</f>
        <v>0</v>
      </c>
      <c r="T170" s="35">
        <v>64.415000000000006</v>
      </c>
      <c r="U170" s="35">
        <f>_xlfn.XLOOKUP(C170,Industry_Benchmark!$A$2:$A$82,Industry_Benchmark!$F$2:$F$82,"")</f>
        <v>80.509399999999999</v>
      </c>
      <c r="V170" s="35">
        <f>T170-U170</f>
        <v>-16.094399999999993</v>
      </c>
      <c r="W170" s="35">
        <f>IF(V170&gt;0,1,0)</f>
        <v>0</v>
      </c>
      <c r="X170" s="36">
        <v>4.1700000000000001E-2</v>
      </c>
      <c r="Y170" s="36">
        <f>_xlfn.XLOOKUP(C170,Industry_Benchmark!$A$2:$A$82,Industry_Benchmark!$G$2:$G$82,"")</f>
        <v>0.15423999999999999</v>
      </c>
      <c r="Z170" s="59">
        <f>X170-Y170</f>
        <v>-0.11253999999999999</v>
      </c>
      <c r="AA170" s="35">
        <f>IF(Z170&gt;0,1,0)</f>
        <v>0</v>
      </c>
      <c r="AB170" s="60">
        <f>SUM(G170,K170,O170,S170,W170,AA170)</f>
        <v>1</v>
      </c>
      <c r="AC170" s="61">
        <f>AB170/6</f>
        <v>0.16666666666666666</v>
      </c>
      <c r="AD170" s="62" t="str" cm="1">
        <f t="array" ref="AD170">_xlfn.IFS(
AB170=6,"Excellent",
AB170=5,"Strong",
AB170=4,"Good",
AB170=3,"Average",
AB170&lt;=2,"Weak"
)</f>
        <v>Weak</v>
      </c>
    </row>
    <row r="171" spans="1:30" x14ac:dyDescent="0.3">
      <c r="A171" s="12" t="s">
        <v>323</v>
      </c>
      <c r="B171" s="10" t="s">
        <v>324</v>
      </c>
      <c r="C171" s="10" t="s">
        <v>218</v>
      </c>
      <c r="D171" s="36">
        <v>6.54E-2</v>
      </c>
      <c r="E171" s="36">
        <f>_xlfn.XLOOKUP(C171,Industry_Benchmark!$A$2:$A$82,Industry_Benchmark!$B$2:$B$82,"")</f>
        <v>0.16090750249999999</v>
      </c>
      <c r="F171" s="36">
        <f>D171-E171</f>
        <v>-9.5507502499999994E-2</v>
      </c>
      <c r="G171" s="37">
        <f>IF(F171&gt;0,1,0)</f>
        <v>0</v>
      </c>
      <c r="H171" s="36">
        <v>0.112</v>
      </c>
      <c r="I171" s="36">
        <f>_xlfn.XLOOKUP(C171,Industry_Benchmark!$A$2:$A$82,Industry_Benchmark!$C$2:$C$82,"")</f>
        <v>0.14150000000000001</v>
      </c>
      <c r="J171" s="36">
        <f>H171-I171</f>
        <v>-2.9500000000000012E-2</v>
      </c>
      <c r="K171" s="37">
        <f>IF(J171&gt;0,1,0)</f>
        <v>0</v>
      </c>
      <c r="L171" s="35">
        <v>1.6279999999999999</v>
      </c>
      <c r="M171" s="35">
        <f>_xlfn.XLOOKUP(C171,Industry_Benchmark!$A$2:$A$82,Industry_Benchmark!$D$2:$D$82,"")</f>
        <v>0.92549999999999988</v>
      </c>
      <c r="N171" s="35">
        <f>L171-M171</f>
        <v>0.70250000000000001</v>
      </c>
      <c r="O171" s="35">
        <f>IF(N171&gt;0,1,0)</f>
        <v>1</v>
      </c>
      <c r="P171" s="36">
        <v>2.6749999999999999E-2</v>
      </c>
      <c r="Q171" s="36">
        <f>_xlfn.XLOOKUP(C171,Industry_Benchmark!$A$2:$A$82,Industry_Benchmark!$E$2:$E$82,"")</f>
        <v>3.8689999999999995E-2</v>
      </c>
      <c r="R171" s="36">
        <f>P171-Q171</f>
        <v>-1.1939999999999996E-2</v>
      </c>
      <c r="S171" s="37">
        <f>IF(R171&gt;0,1,0)</f>
        <v>0</v>
      </c>
      <c r="T171" s="35">
        <v>142.51400000000001</v>
      </c>
      <c r="U171" s="35">
        <f>_xlfn.XLOOKUP(C171,Industry_Benchmark!$A$2:$A$82,Industry_Benchmark!$F$2:$F$82,"")</f>
        <v>226.1405</v>
      </c>
      <c r="V171" s="35">
        <f>T171-U171</f>
        <v>-83.626499999999993</v>
      </c>
      <c r="W171" s="35">
        <f>IF(V171&gt;0,1,0)</f>
        <v>0</v>
      </c>
      <c r="X171" s="36">
        <v>4.0480000000000002E-2</v>
      </c>
      <c r="Y171" s="36">
        <f>_xlfn.XLOOKUP(C171,Industry_Benchmark!$A$2:$A$82,Industry_Benchmark!$G$2:$G$82,"")</f>
        <v>0.17198999999999998</v>
      </c>
      <c r="Z171" s="59">
        <f>X171-Y171</f>
        <v>-0.13150999999999996</v>
      </c>
      <c r="AA171" s="35">
        <f>IF(Z171&gt;0,1,0)</f>
        <v>0</v>
      </c>
      <c r="AB171" s="60">
        <f>SUM(G171,K171,O171,S171,W171,AA171)</f>
        <v>1</v>
      </c>
      <c r="AC171" s="61">
        <f>AB171/6</f>
        <v>0.16666666666666666</v>
      </c>
      <c r="AD171" s="62" t="str" cm="1">
        <f t="array" ref="AD171">_xlfn.IFS(
AB171=6,"Excellent",
AB171=5,"Strong",
AB171=4,"Good",
AB171=3,"Average",
AB171&lt;=2,"Weak"
)</f>
        <v>Weak</v>
      </c>
    </row>
    <row r="172" spans="1:30" x14ac:dyDescent="0.3">
      <c r="A172" s="12" t="s">
        <v>325</v>
      </c>
      <c r="B172" s="10" t="s">
        <v>326</v>
      </c>
      <c r="C172" s="10" t="s">
        <v>54</v>
      </c>
      <c r="D172" s="36">
        <v>7.8889996000000004E-2</v>
      </c>
      <c r="E172" s="36">
        <f>_xlfn.XLOOKUP(C172,Industry_Benchmark!$A$2:$A$82,Industry_Benchmark!$B$2:$B$82,"")</f>
        <v>9.4826665333333338E-2</v>
      </c>
      <c r="F172" s="36">
        <f>D172-E172</f>
        <v>-1.5936669333333334E-2</v>
      </c>
      <c r="G172" s="37">
        <f>IF(F172&gt;0,1,0)</f>
        <v>0</v>
      </c>
      <c r="H172" s="36">
        <v>-0.105</v>
      </c>
      <c r="I172" s="36">
        <f>_xlfn.XLOOKUP(C172,Industry_Benchmark!$A$2:$A$82,Industry_Benchmark!$C$2:$C$82,"")</f>
        <v>0.17033333333333334</v>
      </c>
      <c r="J172" s="36">
        <f>H172-I172</f>
        <v>-0.27533333333333332</v>
      </c>
      <c r="K172" s="37">
        <f>IF(J172&gt;0,1,0)</f>
        <v>0</v>
      </c>
      <c r="L172" s="35">
        <v>1.103</v>
      </c>
      <c r="M172" s="35">
        <f>_xlfn.XLOOKUP(C172,Industry_Benchmark!$A$2:$A$82,Industry_Benchmark!$D$2:$D$82,"")</f>
        <v>1.2296666666666667</v>
      </c>
      <c r="N172" s="35">
        <f>L172-M172</f>
        <v>-0.12666666666666671</v>
      </c>
      <c r="O172" s="35">
        <f>IF(N172&gt;0,1,0)</f>
        <v>0</v>
      </c>
      <c r="P172" s="36">
        <v>2.9779999000000001E-2</v>
      </c>
      <c r="Q172" s="36">
        <f>_xlfn.XLOOKUP(C172,Industry_Benchmark!$A$2:$A$82,Industry_Benchmark!$E$2:$E$82,"")</f>
        <v>3.6796666666666665E-2</v>
      </c>
      <c r="R172" s="36">
        <f>P172-Q172</f>
        <v>-7.0166676666666636E-3</v>
      </c>
      <c r="S172" s="37">
        <f>IF(R172&gt;0,1,0)</f>
        <v>0</v>
      </c>
      <c r="T172" s="35">
        <v>168.03899999999999</v>
      </c>
      <c r="U172" s="35">
        <f>_xlfn.XLOOKUP(C172,Industry_Benchmark!$A$2:$A$82,Industry_Benchmark!$F$2:$F$82,"")</f>
        <v>163.52166666666665</v>
      </c>
      <c r="V172" s="35">
        <f>T172-U172</f>
        <v>4.5173333333333403</v>
      </c>
      <c r="W172" s="35">
        <f>IF(V172&gt;0,1,0)</f>
        <v>1</v>
      </c>
      <c r="X172" s="36">
        <v>0.17222000000000001</v>
      </c>
      <c r="Y172" s="36">
        <f>_xlfn.XLOOKUP(C172,Industry_Benchmark!$A$2:$A$82,Industry_Benchmark!$G$2:$G$82,"")</f>
        <v>0.25986000999999997</v>
      </c>
      <c r="Z172" s="59">
        <f>X172-Y172</f>
        <v>-8.7640009999999963E-2</v>
      </c>
      <c r="AA172" s="35">
        <f>IF(Z172&gt;0,1,0)</f>
        <v>0</v>
      </c>
      <c r="AB172" s="60">
        <f>SUM(G172,K172,O172,S172,W172,AA172)</f>
        <v>1</v>
      </c>
      <c r="AC172" s="61">
        <f>AB172/6</f>
        <v>0.16666666666666666</v>
      </c>
      <c r="AD172" s="62" t="str" cm="1">
        <f t="array" ref="AD172">_xlfn.IFS(
AB172=6,"Excellent",
AB172=5,"Strong",
AB172=4,"Good",
AB172=3,"Average",
AB172&lt;=2,"Weak"
)</f>
        <v>Weak</v>
      </c>
    </row>
    <row r="173" spans="1:30" x14ac:dyDescent="0.3">
      <c r="A173" s="12" t="s">
        <v>330</v>
      </c>
      <c r="B173" s="10" t="s">
        <v>331</v>
      </c>
      <c r="C173" s="10" t="s">
        <v>289</v>
      </c>
      <c r="D173" s="36">
        <v>0.30523001999999999</v>
      </c>
      <c r="E173" s="36">
        <f>_xlfn.XLOOKUP(C173,Industry_Benchmark!$A$2:$A$82,Industry_Benchmark!$B$2:$B$82,"")</f>
        <v>0.46816000666666668</v>
      </c>
      <c r="F173" s="36">
        <f>D173-E173</f>
        <v>-0.16292998666666669</v>
      </c>
      <c r="G173" s="37">
        <f>IF(F173&gt;0,1,0)</f>
        <v>0</v>
      </c>
      <c r="H173" s="36">
        <v>0.28999999999999998</v>
      </c>
      <c r="I173" s="36">
        <f>_xlfn.XLOOKUP(C173,Industry_Benchmark!$A$2:$A$82,Industry_Benchmark!$C$2:$C$82,"")</f>
        <v>10.661333333333333</v>
      </c>
      <c r="J173" s="36">
        <f>H173-I173</f>
        <v>-10.371333333333334</v>
      </c>
      <c r="K173" s="37">
        <f>IF(J173&gt;0,1,0)</f>
        <v>0</v>
      </c>
      <c r="L173" s="35">
        <v>4.625</v>
      </c>
      <c r="M173" s="35">
        <f>_xlfn.XLOOKUP(C173,Industry_Benchmark!$A$2:$A$82,Industry_Benchmark!$D$2:$D$82,"")</f>
        <v>3.1789999999999998</v>
      </c>
      <c r="N173" s="35">
        <f>L173-M173</f>
        <v>1.4460000000000002</v>
      </c>
      <c r="O173" s="35">
        <f>IF(N173&gt;0,1,0)</f>
        <v>1</v>
      </c>
      <c r="P173" s="36">
        <v>0.13846</v>
      </c>
      <c r="Q173" s="36">
        <f>_xlfn.XLOOKUP(C173,Industry_Benchmark!$A$2:$A$82,Industry_Benchmark!$E$2:$E$82,"")</f>
        <v>0.25766333333333336</v>
      </c>
      <c r="R173" s="36">
        <f>P173-Q173</f>
        <v>-0.11920333333333336</v>
      </c>
      <c r="S173" s="37">
        <f>IF(R173&gt;0,1,0)</f>
        <v>0</v>
      </c>
      <c r="T173" s="35">
        <v>9.1999999999999993</v>
      </c>
      <c r="U173" s="35">
        <f>_xlfn.XLOOKUP(C173,Industry_Benchmark!$A$2:$A$82,Industry_Benchmark!$F$2:$F$82,"")</f>
        <v>9.7806666666666668</v>
      </c>
      <c r="V173" s="35">
        <f>T173-U173</f>
        <v>-0.58066666666666755</v>
      </c>
      <c r="W173" s="35">
        <f>IF(V173&gt;0,1,0)</f>
        <v>0</v>
      </c>
      <c r="X173" s="36">
        <v>0.24639</v>
      </c>
      <c r="Y173" s="36">
        <f>_xlfn.XLOOKUP(C173,Industry_Benchmark!$A$2:$A$82,Industry_Benchmark!$G$2:$G$82,"")</f>
        <v>0.62818334333333326</v>
      </c>
      <c r="Z173" s="59">
        <f>X173-Y173</f>
        <v>-0.38179334333333326</v>
      </c>
      <c r="AA173" s="35">
        <f>IF(Z173&gt;0,1,0)</f>
        <v>0</v>
      </c>
      <c r="AB173" s="60">
        <f>SUM(G173,K173,O173,S173,W173,AA173)</f>
        <v>1</v>
      </c>
      <c r="AC173" s="61">
        <f>AB173/6</f>
        <v>0.16666666666666666</v>
      </c>
      <c r="AD173" s="62" t="str" cm="1">
        <f t="array" ref="AD173">_xlfn.IFS(
AB173=6,"Excellent",
AB173=5,"Strong",
AB173=4,"Good",
AB173=3,"Average",
AB173&lt;=2,"Weak"
)</f>
        <v>Weak</v>
      </c>
    </row>
    <row r="174" spans="1:30" x14ac:dyDescent="0.3">
      <c r="A174" s="12" t="s">
        <v>342</v>
      </c>
      <c r="B174" s="10" t="s">
        <v>343</v>
      </c>
      <c r="C174" s="10" t="s">
        <v>126</v>
      </c>
      <c r="D174" s="36">
        <v>0.10077999999999999</v>
      </c>
      <c r="E174" s="36">
        <f>_xlfn.XLOOKUP(C174,Industry_Benchmark!$A$2:$A$82,Industry_Benchmark!$B$2:$B$82,"")</f>
        <v>0.17781714214285715</v>
      </c>
      <c r="F174" s="36">
        <f>D174-E174</f>
        <v>-7.703714214285716E-2</v>
      </c>
      <c r="G174" s="37">
        <f>IF(F174&gt;0,1,0)</f>
        <v>0</v>
      </c>
      <c r="H174" s="36">
        <v>0.10299999999999999</v>
      </c>
      <c r="I174" s="36">
        <f>_xlfn.XLOOKUP(C174,Industry_Benchmark!$A$2:$A$82,Industry_Benchmark!$C$2:$C$82,"")</f>
        <v>0.16085714285714284</v>
      </c>
      <c r="J174" s="36">
        <f>H174-I174</f>
        <v>-5.7857142857142843E-2</v>
      </c>
      <c r="K174" s="37">
        <f>IF(J174&gt;0,1,0)</f>
        <v>0</v>
      </c>
      <c r="L174" s="35">
        <v>1.5489999999999999</v>
      </c>
      <c r="M174" s="35">
        <f>_xlfn.XLOOKUP(C174,Industry_Benchmark!$A$2:$A$82,Industry_Benchmark!$D$2:$D$82,"")</f>
        <v>2.5379999999999998</v>
      </c>
      <c r="N174" s="35">
        <f>L174-M174</f>
        <v>-0.98899999999999988</v>
      </c>
      <c r="O174" s="35">
        <f>IF(N174&gt;0,1,0)</f>
        <v>0</v>
      </c>
      <c r="P174" s="36">
        <v>3.9440000000000003E-2</v>
      </c>
      <c r="Q174" s="36">
        <f>_xlfn.XLOOKUP(C174,Industry_Benchmark!$A$2:$A$82,Industry_Benchmark!$E$2:$E$82,"")</f>
        <v>7.492714242857143E-2</v>
      </c>
      <c r="R174" s="36">
        <f>P174-Q174</f>
        <v>-3.5487142428571428E-2</v>
      </c>
      <c r="S174" s="37">
        <f>IF(R174&gt;0,1,0)</f>
        <v>0</v>
      </c>
      <c r="T174" s="35">
        <v>57.478000000000002</v>
      </c>
      <c r="U174" s="35">
        <f>_xlfn.XLOOKUP(C174,Industry_Benchmark!$A$2:$A$82,Industry_Benchmark!$F$2:$F$82,"")</f>
        <v>50.663714285714285</v>
      </c>
      <c r="V174" s="35">
        <f>T174-U174</f>
        <v>6.8142857142857167</v>
      </c>
      <c r="W174" s="35">
        <f>IF(V174&gt;0,1,0)</f>
        <v>1</v>
      </c>
      <c r="X174" s="36">
        <v>7.2190000000000004E-2</v>
      </c>
      <c r="Y174" s="36">
        <f>_xlfn.XLOOKUP(C174,Industry_Benchmark!$A$2:$A$82,Industry_Benchmark!$G$2:$G$82,"")</f>
        <v>0.18974000000000002</v>
      </c>
      <c r="Z174" s="59">
        <f>X174-Y174</f>
        <v>-0.11755000000000002</v>
      </c>
      <c r="AA174" s="35">
        <f>IF(Z174&gt;0,1,0)</f>
        <v>0</v>
      </c>
      <c r="AB174" s="60">
        <f>SUM(G174,K174,O174,S174,W174,AA174)</f>
        <v>1</v>
      </c>
      <c r="AC174" s="61">
        <f>AB174/6</f>
        <v>0.16666666666666666</v>
      </c>
      <c r="AD174" s="62" t="str" cm="1">
        <f t="array" ref="AD174">_xlfn.IFS(
AB174=6,"Excellent",
AB174=5,"Strong",
AB174=4,"Good",
AB174=3,"Average",
AB174&lt;=2,"Weak"
)</f>
        <v>Weak</v>
      </c>
    </row>
    <row r="175" spans="1:30" x14ac:dyDescent="0.3">
      <c r="A175" s="12" t="s">
        <v>369</v>
      </c>
      <c r="B175" s="10" t="s">
        <v>370</v>
      </c>
      <c r="C175" s="10" t="s">
        <v>182</v>
      </c>
      <c r="D175" s="36">
        <v>-1.4730001E-2</v>
      </c>
      <c r="E175" s="36">
        <f>_xlfn.XLOOKUP(C175,Industry_Benchmark!$A$2:$A$82,Industry_Benchmark!$B$2:$B$82,"")</f>
        <v>0.11456799980000001</v>
      </c>
      <c r="F175" s="36">
        <f>D175-E175</f>
        <v>-0.12929800080000001</v>
      </c>
      <c r="G175" s="37">
        <f>IF(F175&gt;0,1,0)</f>
        <v>0</v>
      </c>
      <c r="H175" s="36">
        <v>0.65300000000000002</v>
      </c>
      <c r="I175" s="36">
        <f>_xlfn.XLOOKUP(C175,Industry_Benchmark!$A$2:$A$82,Industry_Benchmark!$C$2:$C$82,"")</f>
        <v>1.5185999999999999</v>
      </c>
      <c r="J175" s="36">
        <f>H175-I175</f>
        <v>-0.86559999999999993</v>
      </c>
      <c r="K175" s="37">
        <f>IF(J175&gt;0,1,0)</f>
        <v>0</v>
      </c>
      <c r="L175" s="35">
        <v>1.085</v>
      </c>
      <c r="M175" s="35">
        <f>_xlfn.XLOOKUP(C175,Industry_Benchmark!$A$2:$A$82,Industry_Benchmark!$D$2:$D$82,"")</f>
        <v>1.4501999999999999</v>
      </c>
      <c r="N175" s="35">
        <f>L175-M175</f>
        <v>-0.36519999999999997</v>
      </c>
      <c r="O175" s="35">
        <f>IF(N175&gt;0,1,0)</f>
        <v>0</v>
      </c>
      <c r="P175" s="36">
        <v>1.4049999000000001E-2</v>
      </c>
      <c r="Q175" s="36">
        <f>_xlfn.XLOOKUP(C175,Industry_Benchmark!$A$2:$A$82,Industry_Benchmark!$E$2:$E$82,"")</f>
        <v>9.155399979999998E-2</v>
      </c>
      <c r="R175" s="36">
        <f>P175-Q175</f>
        <v>-7.7504000799999972E-2</v>
      </c>
      <c r="S175" s="37">
        <f>IF(R175&gt;0,1,0)</f>
        <v>0</v>
      </c>
      <c r="T175" s="35">
        <v>176.321</v>
      </c>
      <c r="U175" s="35">
        <f>_xlfn.XLOOKUP(C175,Industry_Benchmark!$A$2:$A$82,Industry_Benchmark!$F$2:$F$82,"")</f>
        <v>71.088200000000001</v>
      </c>
      <c r="V175" s="35">
        <f>T175-U175</f>
        <v>105.2328</v>
      </c>
      <c r="W175" s="35">
        <f>IF(V175&gt;0,1,0)</f>
        <v>1</v>
      </c>
      <c r="X175" s="36">
        <v>4.13E-3</v>
      </c>
      <c r="Y175" s="36">
        <f>_xlfn.XLOOKUP(C175,Industry_Benchmark!$A$2:$A$82,Industry_Benchmark!$G$2:$G$82,"")</f>
        <v>0.13806800200000002</v>
      </c>
      <c r="Z175" s="59">
        <f>X175-Y175</f>
        <v>-0.13393800200000003</v>
      </c>
      <c r="AA175" s="35">
        <f>IF(Z175&gt;0,1,0)</f>
        <v>0</v>
      </c>
      <c r="AB175" s="60">
        <f>SUM(G175,K175,O175,S175,W175,AA175)</f>
        <v>1</v>
      </c>
      <c r="AC175" s="61">
        <f>AB175/6</f>
        <v>0.16666666666666666</v>
      </c>
      <c r="AD175" s="62" t="str" cm="1">
        <f t="array" ref="AD175">_xlfn.IFS(
AB175=6,"Excellent",
AB175=5,"Strong",
AB175=4,"Good",
AB175=3,"Average",
AB175&lt;=2,"Weak"
)</f>
        <v>Weak</v>
      </c>
    </row>
    <row r="176" spans="1:30" x14ac:dyDescent="0.3">
      <c r="A176" s="12" t="s">
        <v>386</v>
      </c>
      <c r="B176" s="10" t="s">
        <v>387</v>
      </c>
      <c r="C176" s="10" t="s">
        <v>158</v>
      </c>
      <c r="D176" s="36">
        <v>9.0819999999999998E-2</v>
      </c>
      <c r="E176" s="36">
        <f>_xlfn.XLOOKUP(C176,Industry_Benchmark!$A$2:$A$82,Industry_Benchmark!$B$2:$B$82,"")</f>
        <v>0.15536000333333333</v>
      </c>
      <c r="F176" s="36">
        <f>D176-E176</f>
        <v>-6.4540003333333332E-2</v>
      </c>
      <c r="G176" s="37">
        <f>IF(F176&gt;0,1,0)</f>
        <v>0</v>
      </c>
      <c r="H176" s="36">
        <v>0.1</v>
      </c>
      <c r="I176" s="36">
        <f>_xlfn.XLOOKUP(C176,Industry_Benchmark!$A$2:$A$82,Industry_Benchmark!$C$2:$C$82,"")</f>
        <v>0.21066666666666664</v>
      </c>
      <c r="J176" s="36">
        <f>H176-I176</f>
        <v>-0.11066666666666664</v>
      </c>
      <c r="K176" s="37">
        <f>IF(J176&gt;0,1,0)</f>
        <v>0</v>
      </c>
      <c r="L176" s="35">
        <v>1.7230000000000001</v>
      </c>
      <c r="M176" s="35">
        <f>_xlfn.XLOOKUP(C176,Industry_Benchmark!$A$2:$A$82,Industry_Benchmark!$D$2:$D$82,"")</f>
        <v>1.6655</v>
      </c>
      <c r="N176" s="35">
        <f>L176-M176</f>
        <v>5.7500000000000107E-2</v>
      </c>
      <c r="O176" s="35">
        <f>IF(N176&gt;0,1,0)</f>
        <v>1</v>
      </c>
      <c r="P176" s="36">
        <v>6.4920000000000005E-2</v>
      </c>
      <c r="Q176" s="36">
        <f>_xlfn.XLOOKUP(C176,Industry_Benchmark!$A$2:$A$82,Industry_Benchmark!$E$2:$E$82,"")</f>
        <v>6.7101666833333337E-2</v>
      </c>
      <c r="R176" s="36">
        <f>P176-Q176</f>
        <v>-2.1816668333333317E-3</v>
      </c>
      <c r="S176" s="37">
        <f>IF(R176&gt;0,1,0)</f>
        <v>0</v>
      </c>
      <c r="T176" s="35">
        <v>90.912999999999997</v>
      </c>
      <c r="U176" s="35">
        <f>_xlfn.XLOOKUP(C176,Industry_Benchmark!$A$2:$A$82,Industry_Benchmark!$F$2:$F$82,"")</f>
        <v>123.15566666666665</v>
      </c>
      <c r="V176" s="35">
        <f>T176-U176</f>
        <v>-32.242666666666651</v>
      </c>
      <c r="W176" s="35">
        <f>IF(V176&gt;0,1,0)</f>
        <v>0</v>
      </c>
      <c r="X176" s="36">
        <v>0.17579001</v>
      </c>
      <c r="Y176" s="36">
        <f>_xlfn.XLOOKUP(C176,Industry_Benchmark!$A$2:$A$82,Industry_Benchmark!$G$2:$G$82,"")</f>
        <v>0.26484833499999999</v>
      </c>
      <c r="Z176" s="59">
        <f>X176-Y176</f>
        <v>-8.9058324999999994E-2</v>
      </c>
      <c r="AA176" s="35">
        <f>IF(Z176&gt;0,1,0)</f>
        <v>0</v>
      </c>
      <c r="AB176" s="60">
        <f>SUM(G176,K176,O176,S176,W176,AA176)</f>
        <v>1</v>
      </c>
      <c r="AC176" s="61">
        <f>AB176/6</f>
        <v>0.16666666666666666</v>
      </c>
      <c r="AD176" s="62" t="str" cm="1">
        <f t="array" ref="AD176">_xlfn.IFS(
AB176=6,"Excellent",
AB176=5,"Strong",
AB176=4,"Good",
AB176=3,"Average",
AB176&lt;=2,"Weak"
)</f>
        <v>Weak</v>
      </c>
    </row>
    <row r="177" spans="1:30" x14ac:dyDescent="0.3">
      <c r="A177" s="12" t="s">
        <v>388</v>
      </c>
      <c r="B177" s="10" t="s">
        <v>389</v>
      </c>
      <c r="C177" s="10" t="s">
        <v>57</v>
      </c>
      <c r="D177" s="36">
        <v>0.14984</v>
      </c>
      <c r="E177" s="36">
        <f>_xlfn.XLOOKUP(C177,Industry_Benchmark!$A$2:$A$82,Industry_Benchmark!$B$2:$B$82,"")</f>
        <v>0.24659300000000001</v>
      </c>
      <c r="F177" s="36">
        <f>D177-E177</f>
        <v>-9.6753000000000006E-2</v>
      </c>
      <c r="G177" s="37">
        <f>IF(F177&gt;0,1,0)</f>
        <v>0</v>
      </c>
      <c r="H177" s="36">
        <v>0.26200000000000001</v>
      </c>
      <c r="I177" s="36">
        <f>_xlfn.XLOOKUP(C177,Industry_Benchmark!$A$2:$A$82,Industry_Benchmark!$C$2:$C$82,"")</f>
        <v>0.30759999999999998</v>
      </c>
      <c r="J177" s="36">
        <f>H177-I177</f>
        <v>-4.5599999999999974E-2</v>
      </c>
      <c r="K177" s="37">
        <f>IF(J177&gt;0,1,0)</f>
        <v>0</v>
      </c>
      <c r="L177" s="35">
        <v>1.373</v>
      </c>
      <c r="M177" s="35">
        <f>_xlfn.XLOOKUP(C177,Industry_Benchmark!$A$2:$A$82,Industry_Benchmark!$D$2:$D$82,"")</f>
        <v>2.9108000000000001</v>
      </c>
      <c r="N177" s="35">
        <f>L177-M177</f>
        <v>-1.5378000000000001</v>
      </c>
      <c r="O177" s="35">
        <f>IF(N177&gt;0,1,0)</f>
        <v>0</v>
      </c>
      <c r="P177" s="36">
        <v>7.0529999999999995E-2</v>
      </c>
      <c r="Q177" s="36">
        <f>_xlfn.XLOOKUP(C177,Industry_Benchmark!$A$2:$A$82,Industry_Benchmark!$E$2:$E$82,"")</f>
        <v>0.1215560017</v>
      </c>
      <c r="R177" s="36">
        <f>P177-Q177</f>
        <v>-5.1026001700000004E-2</v>
      </c>
      <c r="S177" s="37">
        <f>IF(R177&gt;0,1,0)</f>
        <v>0</v>
      </c>
      <c r="T177" s="35">
        <v>137.59299999999999</v>
      </c>
      <c r="U177" s="35">
        <f>_xlfn.XLOOKUP(C177,Industry_Benchmark!$A$2:$A$82,Industry_Benchmark!$F$2:$F$82,"")</f>
        <v>77.073399999999992</v>
      </c>
      <c r="V177" s="35">
        <f>T177-U177</f>
        <v>60.519599999999997</v>
      </c>
      <c r="W177" s="35">
        <f>IF(V177&gt;0,1,0)</f>
        <v>1</v>
      </c>
      <c r="X177" s="36">
        <v>0.20143</v>
      </c>
      <c r="Y177" s="36">
        <f>_xlfn.XLOOKUP(C177,Industry_Benchmark!$A$2:$A$82,Industry_Benchmark!$G$2:$G$82,"")</f>
        <v>0.37541199820000004</v>
      </c>
      <c r="Z177" s="59">
        <f>X177-Y177</f>
        <v>-0.17398199820000004</v>
      </c>
      <c r="AA177" s="35">
        <f>IF(Z177&gt;0,1,0)</f>
        <v>0</v>
      </c>
      <c r="AB177" s="60">
        <f>SUM(G177,K177,O177,S177,W177,AA177)</f>
        <v>1</v>
      </c>
      <c r="AC177" s="61">
        <f>AB177/6</f>
        <v>0.16666666666666666</v>
      </c>
      <c r="AD177" s="62" t="str" cm="1">
        <f t="array" ref="AD177">_xlfn.IFS(
AB177=6,"Excellent",
AB177=5,"Strong",
AB177=4,"Good",
AB177=3,"Average",
AB177&lt;=2,"Weak"
)</f>
        <v>Weak</v>
      </c>
    </row>
    <row r="178" spans="1:30" x14ac:dyDescent="0.3">
      <c r="A178" s="12" t="s">
        <v>390</v>
      </c>
      <c r="B178" s="10" t="s">
        <v>391</v>
      </c>
      <c r="C178" s="10" t="s">
        <v>44</v>
      </c>
      <c r="D178" s="36">
        <v>0.20177998999999999</v>
      </c>
      <c r="E178" s="36">
        <f>_xlfn.XLOOKUP(C178,Industry_Benchmark!$A$2:$A$82,Industry_Benchmark!$B$2:$B$82,"")</f>
        <v>0.26349400199999995</v>
      </c>
      <c r="F178" s="36">
        <f>D178-E178</f>
        <v>-6.1714011999999957E-2</v>
      </c>
      <c r="G178" s="37">
        <f>IF(F178&gt;0,1,0)</f>
        <v>0</v>
      </c>
      <c r="H178" s="36">
        <v>0.309</v>
      </c>
      <c r="I178" s="36">
        <f>_xlfn.XLOOKUP(C178,Industry_Benchmark!$A$2:$A$82,Industry_Benchmark!$C$2:$C$82,"")</f>
        <v>0.2198</v>
      </c>
      <c r="J178" s="36">
        <f>H178-I178</f>
        <v>8.9200000000000002E-2</v>
      </c>
      <c r="K178" s="37">
        <f>IF(J178&gt;0,1,0)</f>
        <v>1</v>
      </c>
      <c r="L178" s="35">
        <v>1.1930000000000001</v>
      </c>
      <c r="M178" s="35">
        <f>_xlfn.XLOOKUP(C178,Industry_Benchmark!$A$2:$A$82,Industry_Benchmark!$D$2:$D$82,"")</f>
        <v>1.6274000000000002</v>
      </c>
      <c r="N178" s="35">
        <f>L178-M178</f>
        <v>-0.43440000000000012</v>
      </c>
      <c r="O178" s="35">
        <f>IF(N178&gt;0,1,0)</f>
        <v>0</v>
      </c>
      <c r="P178" s="36">
        <v>7.2319999999999995E-2</v>
      </c>
      <c r="Q178" s="36">
        <f>_xlfn.XLOOKUP(C178,Industry_Benchmark!$A$2:$A$82,Industry_Benchmark!$E$2:$E$82,"")</f>
        <v>0.10721799800000001</v>
      </c>
      <c r="R178" s="36">
        <f>P178-Q178</f>
        <v>-3.4897998000000013E-2</v>
      </c>
      <c r="S178" s="37">
        <f>IF(R178&gt;0,1,0)</f>
        <v>0</v>
      </c>
      <c r="T178" s="35">
        <v>10.771000000000001</v>
      </c>
      <c r="U178" s="35">
        <f>_xlfn.XLOOKUP(C178,Industry_Benchmark!$A$2:$A$82,Industry_Benchmark!$F$2:$F$82,"")</f>
        <v>37.377800000000001</v>
      </c>
      <c r="V178" s="35">
        <f>T178-U178</f>
        <v>-26.6068</v>
      </c>
      <c r="W178" s="35">
        <f>IF(V178&gt;0,1,0)</f>
        <v>0</v>
      </c>
      <c r="X178" s="36">
        <v>0.17663999</v>
      </c>
      <c r="Y178" s="36">
        <f>_xlfn.XLOOKUP(C178,Industry_Benchmark!$A$2:$A$82,Industry_Benchmark!$G$2:$G$82,"")</f>
        <v>0.40269748999999999</v>
      </c>
      <c r="Z178" s="59">
        <f>X178-Y178</f>
        <v>-0.22605749999999999</v>
      </c>
      <c r="AA178" s="35">
        <f>IF(Z178&gt;0,1,0)</f>
        <v>0</v>
      </c>
      <c r="AB178" s="60">
        <f>SUM(G178,K178,O178,S178,W178,AA178)</f>
        <v>1</v>
      </c>
      <c r="AC178" s="61">
        <f>AB178/6</f>
        <v>0.16666666666666666</v>
      </c>
      <c r="AD178" s="62" t="str" cm="1">
        <f t="array" ref="AD178">_xlfn.IFS(
AB178=6,"Excellent",
AB178=5,"Strong",
AB178=4,"Good",
AB178=3,"Average",
AB178&lt;=2,"Weak"
)</f>
        <v>Weak</v>
      </c>
    </row>
    <row r="179" spans="1:30" x14ac:dyDescent="0.3">
      <c r="A179" s="12" t="s">
        <v>403</v>
      </c>
      <c r="B179" s="10" t="s">
        <v>404</v>
      </c>
      <c r="C179" s="10" t="s">
        <v>402</v>
      </c>
      <c r="D179" s="36">
        <v>8.7580000000000005E-2</v>
      </c>
      <c r="E179" s="36">
        <f>_xlfn.XLOOKUP(C179,Industry_Benchmark!$A$2:$A$82,Industry_Benchmark!$B$2:$B$82,"")</f>
        <v>0.10389000500000001</v>
      </c>
      <c r="F179" s="36">
        <f>D179-E179</f>
        <v>-1.6310005000000002E-2</v>
      </c>
      <c r="G179" s="37">
        <f>IF(F179&gt;0,1,0)</f>
        <v>0</v>
      </c>
      <c r="H179" s="36">
        <v>-1.7999999999999999E-2</v>
      </c>
      <c r="I179" s="36">
        <f>_xlfn.XLOOKUP(C179,Industry_Benchmark!$A$2:$A$82,Industry_Benchmark!$C$2:$C$82,"")</f>
        <v>2.35E-2</v>
      </c>
      <c r="J179" s="36">
        <f>H179-I179</f>
        <v>-4.1499999999999995E-2</v>
      </c>
      <c r="K179" s="37">
        <f>IF(J179&gt;0,1,0)</f>
        <v>0</v>
      </c>
      <c r="L179" s="35">
        <v>1.1299999999999999</v>
      </c>
      <c r="M179" s="35">
        <f>_xlfn.XLOOKUP(C179,Industry_Benchmark!$A$2:$A$82,Industry_Benchmark!$D$2:$D$82,"")</f>
        <v>0.98799999999999999</v>
      </c>
      <c r="N179" s="35">
        <f>L179-M179</f>
        <v>0.1419999999999999</v>
      </c>
      <c r="O179" s="35">
        <f>IF(N179&gt;0,1,0)</f>
        <v>1</v>
      </c>
      <c r="P179" s="36">
        <v>3.7409999999999999E-2</v>
      </c>
      <c r="Q179" s="36">
        <f>_xlfn.XLOOKUP(C179,Industry_Benchmark!$A$2:$A$82,Industry_Benchmark!$E$2:$E$82,"")</f>
        <v>5.1325000000000003E-2</v>
      </c>
      <c r="R179" s="36">
        <f>P179-Q179</f>
        <v>-1.3915000000000004E-2</v>
      </c>
      <c r="S179" s="37">
        <f>IF(R179&gt;0,1,0)</f>
        <v>0</v>
      </c>
      <c r="T179" s="35">
        <v>47.921999999999997</v>
      </c>
      <c r="U179" s="35">
        <f>_xlfn.XLOOKUP(C179,Industry_Benchmark!$A$2:$A$82,Industry_Benchmark!$F$2:$F$82,"")</f>
        <v>85.083500000000001</v>
      </c>
      <c r="V179" s="35">
        <f>T179-U179</f>
        <v>-37.161500000000004</v>
      </c>
      <c r="W179" s="35">
        <f>IF(V179&gt;0,1,0)</f>
        <v>0</v>
      </c>
      <c r="X179" s="36">
        <v>4.6460000000000001E-2</v>
      </c>
      <c r="Y179" s="36">
        <f>_xlfn.XLOOKUP(C179,Industry_Benchmark!$A$2:$A$82,Industry_Benchmark!$G$2:$G$82,"")</f>
        <v>0.13684499999999999</v>
      </c>
      <c r="Z179" s="59">
        <f>X179-Y179</f>
        <v>-9.0384999999999993E-2</v>
      </c>
      <c r="AA179" s="35">
        <f>IF(Z179&gt;0,1,0)</f>
        <v>0</v>
      </c>
      <c r="AB179" s="60">
        <f>SUM(G179,K179,O179,S179,W179,AA179)</f>
        <v>1</v>
      </c>
      <c r="AC179" s="61">
        <f>AB179/6</f>
        <v>0.16666666666666666</v>
      </c>
      <c r="AD179" s="62" t="str" cm="1">
        <f t="array" ref="AD179">_xlfn.IFS(
AB179=6,"Excellent",
AB179=5,"Strong",
AB179=4,"Good",
AB179=3,"Average",
AB179&lt;=2,"Weak"
)</f>
        <v>Weak</v>
      </c>
    </row>
    <row r="180" spans="1:30" x14ac:dyDescent="0.3">
      <c r="A180" s="12" t="s">
        <v>443</v>
      </c>
      <c r="B180" s="10" t="s">
        <v>444</v>
      </c>
      <c r="C180" s="10" t="s">
        <v>57</v>
      </c>
      <c r="D180" s="36">
        <v>0.14954000000000001</v>
      </c>
      <c r="E180" s="36">
        <f>_xlfn.XLOOKUP(C180,Industry_Benchmark!$A$2:$A$82,Industry_Benchmark!$B$2:$B$82,"")</f>
        <v>0.24659300000000001</v>
      </c>
      <c r="F180" s="36">
        <f>D180-E180</f>
        <v>-9.7053E-2</v>
      </c>
      <c r="G180" s="37">
        <f>IF(F180&gt;0,1,0)</f>
        <v>0</v>
      </c>
      <c r="H180" s="36">
        <v>0.3</v>
      </c>
      <c r="I180" s="36">
        <f>_xlfn.XLOOKUP(C180,Industry_Benchmark!$A$2:$A$82,Industry_Benchmark!$C$2:$C$82,"")</f>
        <v>0.30759999999999998</v>
      </c>
      <c r="J180" s="36">
        <f>H180-I180</f>
        <v>-7.5999999999999956E-3</v>
      </c>
      <c r="K180" s="37">
        <f>IF(J180&gt;0,1,0)</f>
        <v>0</v>
      </c>
      <c r="L180" s="35">
        <v>1.806</v>
      </c>
      <c r="M180" s="35">
        <f>_xlfn.XLOOKUP(C180,Industry_Benchmark!$A$2:$A$82,Industry_Benchmark!$D$2:$D$82,"")</f>
        <v>2.9108000000000001</v>
      </c>
      <c r="N180" s="35">
        <f>L180-M180</f>
        <v>-1.1048</v>
      </c>
      <c r="O180" s="35">
        <f>IF(N180&gt;0,1,0)</f>
        <v>0</v>
      </c>
      <c r="P180" s="36">
        <v>6.2090001999999998E-2</v>
      </c>
      <c r="Q180" s="36">
        <f>_xlfn.XLOOKUP(C180,Industry_Benchmark!$A$2:$A$82,Industry_Benchmark!$E$2:$E$82,"")</f>
        <v>0.1215560017</v>
      </c>
      <c r="R180" s="36">
        <f>P180-Q180</f>
        <v>-5.9465999700000001E-2</v>
      </c>
      <c r="S180" s="37">
        <f>IF(R180&gt;0,1,0)</f>
        <v>0</v>
      </c>
      <c r="T180" s="35">
        <v>136.19</v>
      </c>
      <c r="U180" s="35">
        <f>_xlfn.XLOOKUP(C180,Industry_Benchmark!$A$2:$A$82,Industry_Benchmark!$F$2:$F$82,"")</f>
        <v>77.073399999999992</v>
      </c>
      <c r="V180" s="35">
        <f>T180-U180</f>
        <v>59.116600000000005</v>
      </c>
      <c r="W180" s="35">
        <f>IF(V180&gt;0,1,0)</f>
        <v>1</v>
      </c>
      <c r="X180" s="36">
        <v>0.17362</v>
      </c>
      <c r="Y180" s="36">
        <f>_xlfn.XLOOKUP(C180,Industry_Benchmark!$A$2:$A$82,Industry_Benchmark!$G$2:$G$82,"")</f>
        <v>0.37541199820000004</v>
      </c>
      <c r="Z180" s="59">
        <f>X180-Y180</f>
        <v>-0.20179199820000004</v>
      </c>
      <c r="AA180" s="35">
        <f>IF(Z180&gt;0,1,0)</f>
        <v>0</v>
      </c>
      <c r="AB180" s="60">
        <f>SUM(G180,K180,O180,S180,W180,AA180)</f>
        <v>1</v>
      </c>
      <c r="AC180" s="61">
        <f>AB180/6</f>
        <v>0.16666666666666666</v>
      </c>
      <c r="AD180" s="62" t="str" cm="1">
        <f t="array" ref="AD180">_xlfn.IFS(
AB180=6,"Excellent",
AB180=5,"Strong",
AB180=4,"Good",
AB180=3,"Average",
AB180&lt;=2,"Weak"
)</f>
        <v>Weak</v>
      </c>
    </row>
    <row r="181" spans="1:30" x14ac:dyDescent="0.3">
      <c r="A181" s="12" t="s">
        <v>445</v>
      </c>
      <c r="B181" s="10" t="s">
        <v>446</v>
      </c>
      <c r="C181" s="10" t="s">
        <v>428</v>
      </c>
      <c r="D181" s="36">
        <v>0.16072</v>
      </c>
      <c r="E181" s="36">
        <f>_xlfn.XLOOKUP(C181,Industry_Benchmark!$A$2:$A$82,Industry_Benchmark!$B$2:$B$82,"")</f>
        <v>0.15349000499999998</v>
      </c>
      <c r="F181" s="36">
        <f>D181-E181</f>
        <v>7.2299950000000168E-3</v>
      </c>
      <c r="G181" s="37">
        <f>IF(F181&gt;0,1,0)</f>
        <v>1</v>
      </c>
      <c r="H181" s="36">
        <v>8.4000000000000005E-2</v>
      </c>
      <c r="I181" s="36">
        <f>_xlfn.XLOOKUP(C181,Industry_Benchmark!$A$2:$A$82,Industry_Benchmark!$C$2:$C$82,"")</f>
        <v>0.16600000000000001</v>
      </c>
      <c r="J181" s="36">
        <f>H181-I181</f>
        <v>-8.2000000000000003E-2</v>
      </c>
      <c r="K181" s="37">
        <f>IF(J181&gt;0,1,0)</f>
        <v>0</v>
      </c>
      <c r="L181" s="35">
        <v>1.6950000000000001</v>
      </c>
      <c r="M181" s="35">
        <f>_xlfn.XLOOKUP(C181,Industry_Benchmark!$A$2:$A$82,Industry_Benchmark!$D$2:$D$82,"")</f>
        <v>2.0649999999999999</v>
      </c>
      <c r="N181" s="35">
        <f>L181-M181</f>
        <v>-0.36999999999999988</v>
      </c>
      <c r="O181" s="35">
        <f>IF(N181&gt;0,1,0)</f>
        <v>0</v>
      </c>
      <c r="P181" s="36">
        <v>8.3739995999999997E-2</v>
      </c>
      <c r="Q181" s="36">
        <f>_xlfn.XLOOKUP(C181,Industry_Benchmark!$A$2:$A$82,Industry_Benchmark!$E$2:$E$82,"")</f>
        <v>9.2054997999999999E-2</v>
      </c>
      <c r="R181" s="36">
        <f>P181-Q181</f>
        <v>-8.3150020000000019E-3</v>
      </c>
      <c r="S181" s="37">
        <f>IF(R181&gt;0,1,0)</f>
        <v>0</v>
      </c>
      <c r="T181" s="35">
        <v>36.386000000000003</v>
      </c>
      <c r="U181" s="35">
        <f>_xlfn.XLOOKUP(C181,Industry_Benchmark!$A$2:$A$82,Industry_Benchmark!$F$2:$F$82,"")</f>
        <v>57.782499999999999</v>
      </c>
      <c r="V181" s="35">
        <f>T181-U181</f>
        <v>-21.396499999999996</v>
      </c>
      <c r="W181" s="35">
        <f>IF(V181&gt;0,1,0)</f>
        <v>0</v>
      </c>
      <c r="X181" s="36">
        <v>0.23186999999999999</v>
      </c>
      <c r="Y181" s="36">
        <f>_xlfn.XLOOKUP(C181,Industry_Benchmark!$A$2:$A$82,Industry_Benchmark!$G$2:$G$82,"")</f>
        <v>0.24948999999999999</v>
      </c>
      <c r="Z181" s="59">
        <f>X181-Y181</f>
        <v>-1.7619999999999997E-2</v>
      </c>
      <c r="AA181" s="35">
        <f>IF(Z181&gt;0,1,0)</f>
        <v>0</v>
      </c>
      <c r="AB181" s="60">
        <f>SUM(G181,K181,O181,S181,W181,AA181)</f>
        <v>1</v>
      </c>
      <c r="AC181" s="61">
        <f>AB181/6</f>
        <v>0.16666666666666666</v>
      </c>
      <c r="AD181" s="62" t="str" cm="1">
        <f t="array" ref="AD181">_xlfn.IFS(
AB181=6,"Excellent",
AB181=5,"Strong",
AB181=4,"Good",
AB181=3,"Average",
AB181&lt;=2,"Weak"
)</f>
        <v>Weak</v>
      </c>
    </row>
    <row r="182" spans="1:30" x14ac:dyDescent="0.3">
      <c r="A182" s="12" t="s">
        <v>464</v>
      </c>
      <c r="B182" s="10" t="s">
        <v>465</v>
      </c>
      <c r="C182" s="10" t="s">
        <v>360</v>
      </c>
      <c r="D182" s="36">
        <v>1.899E-2</v>
      </c>
      <c r="E182" s="36">
        <f>_xlfn.XLOOKUP(C182,Industry_Benchmark!$A$2:$A$82,Industry_Benchmark!$B$2:$B$82,"")</f>
        <v>9.1394995000000007E-2</v>
      </c>
      <c r="F182" s="36">
        <f>D182-E182</f>
        <v>-7.2404995E-2</v>
      </c>
      <c r="G182" s="37">
        <f>IF(F182&gt;0,1,0)</f>
        <v>0</v>
      </c>
      <c r="H182" s="36">
        <v>0.93</v>
      </c>
      <c r="I182" s="36">
        <f>_xlfn.XLOOKUP(C182,Industry_Benchmark!$A$2:$A$82,Industry_Benchmark!$C$2:$C$82,"")</f>
        <v>1.036</v>
      </c>
      <c r="J182" s="36">
        <f>H182-I182</f>
        <v>-0.10599999999999998</v>
      </c>
      <c r="K182" s="37">
        <f>IF(J182&gt;0,1,0)</f>
        <v>0</v>
      </c>
      <c r="L182" s="35">
        <v>1.0269999999999999</v>
      </c>
      <c r="M182" s="35">
        <f>_xlfn.XLOOKUP(C182,Industry_Benchmark!$A$2:$A$82,Industry_Benchmark!$D$2:$D$82,"")</f>
        <v>0.76200000000000001</v>
      </c>
      <c r="N182" s="35">
        <f>L182-M182</f>
        <v>0.2649999999999999</v>
      </c>
      <c r="O182" s="35">
        <f>IF(N182&gt;0,1,0)</f>
        <v>1</v>
      </c>
      <c r="P182" s="36">
        <v>3.0009999999999998E-2</v>
      </c>
      <c r="Q182" s="36">
        <f>_xlfn.XLOOKUP(C182,Industry_Benchmark!$A$2:$A$82,Industry_Benchmark!$E$2:$E$82,"")</f>
        <v>3.2390000000000002E-2</v>
      </c>
      <c r="R182" s="36">
        <f>P182-Q182</f>
        <v>-2.3800000000000036E-3</v>
      </c>
      <c r="S182" s="37">
        <f>IF(R182&gt;0,1,0)</f>
        <v>0</v>
      </c>
      <c r="T182" s="35">
        <v>0</v>
      </c>
      <c r="U182" s="35">
        <f>_xlfn.XLOOKUP(C182,Industry_Benchmark!$A$2:$A$82,Industry_Benchmark!$F$2:$F$82,"")</f>
        <v>581.97149999999999</v>
      </c>
      <c r="V182" s="35">
        <f>T182-U182</f>
        <v>-581.97149999999999</v>
      </c>
      <c r="W182" s="35">
        <f>IF(V182&gt;0,1,0)</f>
        <v>0</v>
      </c>
      <c r="X182" s="36"/>
      <c r="Y182" s="36">
        <f>_xlfn.XLOOKUP(C182,Industry_Benchmark!$A$2:$A$82,Industry_Benchmark!$G$2:$G$82,"")</f>
        <v>0.81430000000000002</v>
      </c>
      <c r="Z182" s="59">
        <f>X182-Y182</f>
        <v>-0.81430000000000002</v>
      </c>
      <c r="AA182" s="35">
        <f>IF(Z182&gt;0,1,0)</f>
        <v>0</v>
      </c>
      <c r="AB182" s="60">
        <f>SUM(G182,K182,O182,S182,W182,AA182)</f>
        <v>1</v>
      </c>
      <c r="AC182" s="61">
        <f>AB182/6</f>
        <v>0.16666666666666666</v>
      </c>
      <c r="AD182" s="62" t="str" cm="1">
        <f t="array" ref="AD182">_xlfn.IFS(
AB182=6,"Excellent",
AB182=5,"Strong",
AB182=4,"Good",
AB182=3,"Average",
AB182&lt;=2,"Weak"
)</f>
        <v>Weak</v>
      </c>
    </row>
    <row r="183" spans="1:30" x14ac:dyDescent="0.3">
      <c r="A183" s="12" t="s">
        <v>485</v>
      </c>
      <c r="B183" s="10" t="s">
        <v>486</v>
      </c>
      <c r="C183" s="10" t="s">
        <v>327</v>
      </c>
      <c r="D183" s="36">
        <v>0.114250004</v>
      </c>
      <c r="E183" s="36">
        <f>_xlfn.XLOOKUP(C183,Industry_Benchmark!$A$2:$A$82,Industry_Benchmark!$B$2:$B$82,"")</f>
        <v>0.107585002</v>
      </c>
      <c r="F183" s="36">
        <f>D183-E183</f>
        <v>6.6650020000000032E-3</v>
      </c>
      <c r="G183" s="37">
        <f>IF(F183&gt;0,1,0)</f>
        <v>1</v>
      </c>
      <c r="H183" s="36">
        <v>0.14799999999999999</v>
      </c>
      <c r="I183" s="36">
        <f>_xlfn.XLOOKUP(C183,Industry_Benchmark!$A$2:$A$82,Industry_Benchmark!$C$2:$C$82,"")</f>
        <v>0.17799999999999999</v>
      </c>
      <c r="J183" s="36">
        <f>H183-I183</f>
        <v>-0.03</v>
      </c>
      <c r="K183" s="37">
        <f>IF(J183&gt;0,1,0)</f>
        <v>0</v>
      </c>
      <c r="L183" s="35">
        <v>0.70799999999999996</v>
      </c>
      <c r="M183" s="35">
        <f>_xlfn.XLOOKUP(C183,Industry_Benchmark!$A$2:$A$82,Industry_Benchmark!$D$2:$D$82,"")</f>
        <v>0.74199999999999999</v>
      </c>
      <c r="N183" s="35">
        <f>L183-M183</f>
        <v>-3.400000000000003E-2</v>
      </c>
      <c r="O183" s="35">
        <f>IF(N183&gt;0,1,0)</f>
        <v>0</v>
      </c>
      <c r="P183" s="36">
        <v>5.4640002999999999E-2</v>
      </c>
      <c r="Q183" s="36">
        <f>_xlfn.XLOOKUP(C183,Industry_Benchmark!$A$2:$A$82,Industry_Benchmark!$E$2:$E$82,"")</f>
        <v>6.2375001499999999E-2</v>
      </c>
      <c r="R183" s="36">
        <f>P183-Q183</f>
        <v>-7.7349984999999996E-3</v>
      </c>
      <c r="S183" s="37">
        <f>IF(R183&gt;0,1,0)</f>
        <v>0</v>
      </c>
      <c r="T183" s="35">
        <v>110.05200000000001</v>
      </c>
      <c r="U183" s="35">
        <f>_xlfn.XLOOKUP(C183,Industry_Benchmark!$A$2:$A$82,Industry_Benchmark!$F$2:$F$82,"")</f>
        <v>145.95850000000002</v>
      </c>
      <c r="V183" s="35">
        <f>T183-U183</f>
        <v>-35.906500000000008</v>
      </c>
      <c r="W183" s="35">
        <f>IF(V183&gt;0,1,0)</f>
        <v>0</v>
      </c>
      <c r="X183" s="36">
        <v>0.14795999000000001</v>
      </c>
      <c r="Y183" s="36">
        <f>_xlfn.XLOOKUP(C183,Industry_Benchmark!$A$2:$A$82,Industry_Benchmark!$G$2:$G$82,"")</f>
        <v>0.19602499500000001</v>
      </c>
      <c r="Z183" s="59">
        <f>X183-Y183</f>
        <v>-4.8065004999999994E-2</v>
      </c>
      <c r="AA183" s="35">
        <f>IF(Z183&gt;0,1,0)</f>
        <v>0</v>
      </c>
      <c r="AB183" s="60">
        <f>SUM(G183,K183,O183,S183,W183,AA183)</f>
        <v>1</v>
      </c>
      <c r="AC183" s="61">
        <f>AB183/6</f>
        <v>0.16666666666666666</v>
      </c>
      <c r="AD183" s="62" t="str" cm="1">
        <f t="array" ref="AD183">_xlfn.IFS(
AB183=6,"Excellent",
AB183=5,"Strong",
AB183=4,"Good",
AB183=3,"Average",
AB183&lt;=2,"Weak"
)</f>
        <v>Weak</v>
      </c>
    </row>
    <row r="184" spans="1:30" x14ac:dyDescent="0.3">
      <c r="A184" s="12" t="s">
        <v>517</v>
      </c>
      <c r="B184" s="10" t="s">
        <v>518</v>
      </c>
      <c r="C184" s="10" t="s">
        <v>226</v>
      </c>
      <c r="D184" s="36">
        <v>9.7500000000000003E-2</v>
      </c>
      <c r="E184" s="36">
        <f>_xlfn.XLOOKUP(C184,Industry_Benchmark!$A$2:$A$82,Industry_Benchmark!$B$2:$B$82,"")</f>
        <v>0.16214249875</v>
      </c>
      <c r="F184" s="36">
        <f>D184-E184</f>
        <v>-6.4642498749999999E-2</v>
      </c>
      <c r="G184" s="37">
        <f>IF(F184&gt;0,1,0)</f>
        <v>0</v>
      </c>
      <c r="H184" s="36">
        <v>8.5000000000000006E-2</v>
      </c>
      <c r="I184" s="36">
        <f>_xlfn.XLOOKUP(C184,Industry_Benchmark!$A$2:$A$82,Industry_Benchmark!$C$2:$C$82,"")</f>
        <v>0.13175000000000001</v>
      </c>
      <c r="J184" s="36">
        <f>H184-I184</f>
        <v>-4.675E-2</v>
      </c>
      <c r="K184" s="37">
        <f>IF(J184&gt;0,1,0)</f>
        <v>0</v>
      </c>
      <c r="L184" s="35">
        <v>2.3730000000000002</v>
      </c>
      <c r="M184" s="35">
        <f>_xlfn.XLOOKUP(C184,Industry_Benchmark!$A$2:$A$82,Industry_Benchmark!$D$2:$D$82,"")</f>
        <v>2.8327499999999999</v>
      </c>
      <c r="N184" s="35">
        <f>L184-M184</f>
        <v>-0.45974999999999966</v>
      </c>
      <c r="O184" s="35">
        <f>IF(N184&gt;0,1,0)</f>
        <v>0</v>
      </c>
      <c r="P184" s="36">
        <v>6.2119998000000003E-2</v>
      </c>
      <c r="Q184" s="36">
        <f>_xlfn.XLOOKUP(C184,Industry_Benchmark!$A$2:$A$82,Industry_Benchmark!$E$2:$E$82,"")</f>
        <v>8.047999950000001E-2</v>
      </c>
      <c r="R184" s="36">
        <f>P184-Q184</f>
        <v>-1.8360001500000007E-2</v>
      </c>
      <c r="S184" s="37">
        <f>IF(R184&gt;0,1,0)</f>
        <v>0</v>
      </c>
      <c r="T184" s="35">
        <v>73.057000000000002</v>
      </c>
      <c r="U184" s="35">
        <f>_xlfn.XLOOKUP(C184,Industry_Benchmark!$A$2:$A$82,Industry_Benchmark!$F$2:$F$82,"")</f>
        <v>45.386000000000003</v>
      </c>
      <c r="V184" s="35">
        <f>T184-U184</f>
        <v>27.670999999999999</v>
      </c>
      <c r="W184" s="35">
        <f>IF(V184&gt;0,1,0)</f>
        <v>1</v>
      </c>
      <c r="X184" s="36">
        <v>0.14055000000000001</v>
      </c>
      <c r="Y184" s="36">
        <f>_xlfn.XLOOKUP(C184,Industry_Benchmark!$A$2:$A$82,Industry_Benchmark!$G$2:$G$82,"")</f>
        <v>0.140782501</v>
      </c>
      <c r="Z184" s="59">
        <f>X184-Y184</f>
        <v>-2.3250099999999607E-4</v>
      </c>
      <c r="AA184" s="35">
        <f>IF(Z184&gt;0,1,0)</f>
        <v>0</v>
      </c>
      <c r="AB184" s="60">
        <f>SUM(G184,K184,O184,S184,W184,AA184)</f>
        <v>1</v>
      </c>
      <c r="AC184" s="61">
        <f>AB184/6</f>
        <v>0.16666666666666666</v>
      </c>
      <c r="AD184" s="62" t="str" cm="1">
        <f t="array" ref="AD184">_xlfn.IFS(
AB184=6,"Excellent",
AB184=5,"Strong",
AB184=4,"Good",
AB184=3,"Average",
AB184&lt;=2,"Weak"
)</f>
        <v>Weak</v>
      </c>
    </row>
    <row r="185" spans="1:30" x14ac:dyDescent="0.3">
      <c r="A185" s="12" t="s">
        <v>528</v>
      </c>
      <c r="B185" s="10" t="s">
        <v>529</v>
      </c>
      <c r="C185" s="10" t="s">
        <v>455</v>
      </c>
      <c r="D185" s="36">
        <v>0.11376</v>
      </c>
      <c r="E185" s="36">
        <f>_xlfn.XLOOKUP(C185,Industry_Benchmark!$A$2:$A$82,Industry_Benchmark!$B$2:$B$82,"")</f>
        <v>0.13438</v>
      </c>
      <c r="F185" s="36">
        <f>D185-E185</f>
        <v>-2.0619999999999999E-2</v>
      </c>
      <c r="G185" s="37">
        <f>IF(F185&gt;0,1,0)</f>
        <v>0</v>
      </c>
      <c r="H185" s="36">
        <v>0.14799999999999999</v>
      </c>
      <c r="I185" s="36">
        <f>_xlfn.XLOOKUP(C185,Industry_Benchmark!$A$2:$A$82,Industry_Benchmark!$C$2:$C$82,"")</f>
        <v>0.121</v>
      </c>
      <c r="J185" s="36">
        <f>H185-I185</f>
        <v>2.6999999999999996E-2</v>
      </c>
      <c r="K185" s="37">
        <f>IF(J185&gt;0,1,0)</f>
        <v>1</v>
      </c>
      <c r="L185" s="35">
        <v>1.151</v>
      </c>
      <c r="M185" s="35">
        <f>_xlfn.XLOOKUP(C185,Industry_Benchmark!$A$2:$A$82,Industry_Benchmark!$D$2:$D$82,"")</f>
        <v>1.1850000000000001</v>
      </c>
      <c r="N185" s="35">
        <f>L185-M185</f>
        <v>-3.400000000000003E-2</v>
      </c>
      <c r="O185" s="35">
        <f>IF(N185&gt;0,1,0)</f>
        <v>0</v>
      </c>
      <c r="P185" s="36">
        <v>2.257E-2</v>
      </c>
      <c r="Q185" s="36">
        <f>_xlfn.XLOOKUP(C185,Industry_Benchmark!$A$2:$A$82,Industry_Benchmark!$E$2:$E$82,"")</f>
        <v>6.6809997499999996E-2</v>
      </c>
      <c r="R185" s="36">
        <f>P185-Q185</f>
        <v>-4.4239997499999996E-2</v>
      </c>
      <c r="S185" s="37">
        <f>IF(R185&gt;0,1,0)</f>
        <v>0</v>
      </c>
      <c r="T185" s="35">
        <v>43.173000000000002</v>
      </c>
      <c r="U185" s="35">
        <f>_xlfn.XLOOKUP(C185,Industry_Benchmark!$A$2:$A$82,Industry_Benchmark!$F$2:$F$82,"")</f>
        <v>58.378999999999998</v>
      </c>
      <c r="V185" s="35">
        <f>T185-U185</f>
        <v>-15.205999999999996</v>
      </c>
      <c r="W185" s="35">
        <f>IF(V185&gt;0,1,0)</f>
        <v>0</v>
      </c>
      <c r="X185" s="36">
        <v>3.5180000000000003E-2</v>
      </c>
      <c r="Y185" s="36">
        <f>_xlfn.XLOOKUP(C185,Industry_Benchmark!$A$2:$A$82,Industry_Benchmark!$G$2:$G$82,"")</f>
        <v>0.17845501</v>
      </c>
      <c r="Z185" s="59">
        <f>X185-Y185</f>
        <v>-0.14327500999999998</v>
      </c>
      <c r="AA185" s="35">
        <f>IF(Z185&gt;0,1,0)</f>
        <v>0</v>
      </c>
      <c r="AB185" s="60">
        <f>SUM(G185,K185,O185,S185,W185,AA185)</f>
        <v>1</v>
      </c>
      <c r="AC185" s="61">
        <f>AB185/6</f>
        <v>0.16666666666666666</v>
      </c>
      <c r="AD185" s="62" t="str" cm="1">
        <f t="array" ref="AD185">_xlfn.IFS(
AB185=6,"Excellent",
AB185=5,"Strong",
AB185=4,"Good",
AB185=3,"Average",
AB185&lt;=2,"Weak"
)</f>
        <v>Weak</v>
      </c>
    </row>
    <row r="186" spans="1:30" x14ac:dyDescent="0.3">
      <c r="A186" s="12" t="s">
        <v>539</v>
      </c>
      <c r="B186" s="10" t="s">
        <v>540</v>
      </c>
      <c r="C186" s="10" t="s">
        <v>425</v>
      </c>
      <c r="D186" s="36">
        <v>1.1809999999999999E-2</v>
      </c>
      <c r="E186" s="36">
        <f>_xlfn.XLOOKUP(C186,Industry_Benchmark!$A$2:$A$82,Industry_Benchmark!$B$2:$B$82,"")</f>
        <v>3.3746666666666668E-2</v>
      </c>
      <c r="F186" s="36">
        <f>D186-E186</f>
        <v>-2.1936666666666667E-2</v>
      </c>
      <c r="G186" s="37">
        <f>IF(F186&gt;0,1,0)</f>
        <v>0</v>
      </c>
      <c r="H186" s="36">
        <v>0.98899999999999999</v>
      </c>
      <c r="I186" s="36">
        <f>_xlfn.XLOOKUP(C186,Industry_Benchmark!$A$2:$A$82,Industry_Benchmark!$C$2:$C$82,"")</f>
        <v>1.0683333333333334</v>
      </c>
      <c r="J186" s="36">
        <f>H186-I186</f>
        <v>-7.9333333333333367E-2</v>
      </c>
      <c r="K186" s="37">
        <f>IF(J186&gt;0,1,0)</f>
        <v>0</v>
      </c>
      <c r="L186" s="35">
        <v>1.1479999999999999</v>
      </c>
      <c r="M186" s="35">
        <f>_xlfn.XLOOKUP(C186,Industry_Benchmark!$A$2:$A$82,Industry_Benchmark!$D$2:$D$82,"")</f>
        <v>1.202</v>
      </c>
      <c r="N186" s="35">
        <f>L186-M186</f>
        <v>-5.4000000000000048E-2</v>
      </c>
      <c r="O186" s="35">
        <f>IF(N186&gt;0,1,0)</f>
        <v>0</v>
      </c>
      <c r="P186" s="36">
        <v>7.1700000000000002E-3</v>
      </c>
      <c r="Q186" s="36">
        <f>_xlfn.XLOOKUP(C186,Industry_Benchmark!$A$2:$A$82,Industry_Benchmark!$E$2:$E$82,"")</f>
        <v>1.6324999999999999E-2</v>
      </c>
      <c r="R186" s="36">
        <f>P186-Q186</f>
        <v>-9.1549999999999999E-3</v>
      </c>
      <c r="S186" s="37">
        <f>IF(R186&gt;0,1,0)</f>
        <v>0</v>
      </c>
      <c r="T186" s="35">
        <v>71.709999999999994</v>
      </c>
      <c r="U186" s="35">
        <f>_xlfn.XLOOKUP(C186,Industry_Benchmark!$A$2:$A$82,Industry_Benchmark!$F$2:$F$82,"")</f>
        <v>76.00233333333334</v>
      </c>
      <c r="V186" s="35">
        <f>T186-U186</f>
        <v>-4.292333333333346</v>
      </c>
      <c r="W186" s="35">
        <f>IF(V186&gt;0,1,0)</f>
        <v>0</v>
      </c>
      <c r="X186" s="36">
        <v>7.3860005000000006E-2</v>
      </c>
      <c r="Y186" s="36">
        <f>_xlfn.XLOOKUP(C186,Industry_Benchmark!$A$2:$A$82,Industry_Benchmark!$G$2:$G$82,"")</f>
        <v>7.2096668333333336E-2</v>
      </c>
      <c r="Z186" s="59">
        <f>X186-Y186</f>
        <v>1.7633366666666705E-3</v>
      </c>
      <c r="AA186" s="35">
        <f>IF(Z186&gt;0,1,0)</f>
        <v>1</v>
      </c>
      <c r="AB186" s="60">
        <f>SUM(G186,K186,O186,S186,W186,AA186)</f>
        <v>1</v>
      </c>
      <c r="AC186" s="61">
        <f>AB186/6</f>
        <v>0.16666666666666666</v>
      </c>
      <c r="AD186" s="62" t="str" cm="1">
        <f t="array" ref="AD186">_xlfn.IFS(
AB186=6,"Excellent",
AB186=5,"Strong",
AB186=4,"Good",
AB186=3,"Average",
AB186&lt;=2,"Weak"
)</f>
        <v>Weak</v>
      </c>
    </row>
    <row r="187" spans="1:30" x14ac:dyDescent="0.3">
      <c r="A187" s="12" t="s">
        <v>549</v>
      </c>
      <c r="B187" s="10" t="s">
        <v>550</v>
      </c>
      <c r="C187" s="10" t="s">
        <v>218</v>
      </c>
      <c r="D187" s="36">
        <v>0.13091</v>
      </c>
      <c r="E187" s="36">
        <f>_xlfn.XLOOKUP(C187,Industry_Benchmark!$A$2:$A$82,Industry_Benchmark!$B$2:$B$82,"")</f>
        <v>0.16090750249999999</v>
      </c>
      <c r="F187" s="36">
        <f>D187-E187</f>
        <v>-2.9997502499999995E-2</v>
      </c>
      <c r="G187" s="37">
        <f>IF(F187&gt;0,1,0)</f>
        <v>0</v>
      </c>
      <c r="H187" s="36">
        <v>0.127</v>
      </c>
      <c r="I187" s="36">
        <f>_xlfn.XLOOKUP(C187,Industry_Benchmark!$A$2:$A$82,Industry_Benchmark!$C$2:$C$82,"")</f>
        <v>0.14150000000000001</v>
      </c>
      <c r="J187" s="36">
        <f>H187-I187</f>
        <v>-1.4500000000000013E-2</v>
      </c>
      <c r="K187" s="37">
        <f>IF(J187&gt;0,1,0)</f>
        <v>0</v>
      </c>
      <c r="L187" s="35">
        <v>0.68200000000000005</v>
      </c>
      <c r="M187" s="35">
        <f>_xlfn.XLOOKUP(C187,Industry_Benchmark!$A$2:$A$82,Industry_Benchmark!$D$2:$D$82,"")</f>
        <v>0.92549999999999988</v>
      </c>
      <c r="N187" s="35">
        <f>L187-M187</f>
        <v>-0.24349999999999983</v>
      </c>
      <c r="O187" s="35">
        <f>IF(N187&gt;0,1,0)</f>
        <v>0</v>
      </c>
      <c r="P187" s="36">
        <v>5.203E-2</v>
      </c>
      <c r="Q187" s="36">
        <f>_xlfn.XLOOKUP(C187,Industry_Benchmark!$A$2:$A$82,Industry_Benchmark!$E$2:$E$82,"")</f>
        <v>3.8689999999999995E-2</v>
      </c>
      <c r="R187" s="36">
        <f>P187-Q187</f>
        <v>1.3340000000000005E-2</v>
      </c>
      <c r="S187" s="37">
        <f>IF(R187&gt;0,1,0)</f>
        <v>1</v>
      </c>
      <c r="T187" s="35">
        <v>0</v>
      </c>
      <c r="U187" s="35">
        <f>_xlfn.XLOOKUP(C187,Industry_Benchmark!$A$2:$A$82,Industry_Benchmark!$F$2:$F$82,"")</f>
        <v>226.1405</v>
      </c>
      <c r="V187" s="35">
        <f>T187-U187</f>
        <v>-226.1405</v>
      </c>
      <c r="W187" s="35">
        <f>IF(V187&gt;0,1,0)</f>
        <v>0</v>
      </c>
      <c r="X187" s="36"/>
      <c r="Y187" s="36">
        <f>_xlfn.XLOOKUP(C187,Industry_Benchmark!$A$2:$A$82,Industry_Benchmark!$G$2:$G$82,"")</f>
        <v>0.17198999999999998</v>
      </c>
      <c r="Z187" s="59">
        <f>X187-Y187</f>
        <v>-0.17198999999999998</v>
      </c>
      <c r="AA187" s="35">
        <f>IF(Z187&gt;0,1,0)</f>
        <v>0</v>
      </c>
      <c r="AB187" s="60">
        <f>SUM(G187,K187,O187,S187,W187,AA187)</f>
        <v>1</v>
      </c>
      <c r="AC187" s="61">
        <f>AB187/6</f>
        <v>0.16666666666666666</v>
      </c>
      <c r="AD187" s="62" t="str" cm="1">
        <f t="array" ref="AD187">_xlfn.IFS(
AB187=6,"Excellent",
AB187=5,"Strong",
AB187=4,"Good",
AB187=3,"Average",
AB187&lt;=2,"Weak"
)</f>
        <v>Weak</v>
      </c>
    </row>
    <row r="188" spans="1:30" x14ac:dyDescent="0.3">
      <c r="A188" s="12" t="s">
        <v>41</v>
      </c>
      <c r="B188" s="10" t="s">
        <v>43</v>
      </c>
      <c r="C188" s="10" t="s">
        <v>39</v>
      </c>
      <c r="D188" s="36">
        <v>0.26579002000000002</v>
      </c>
      <c r="E188" s="36">
        <f>_xlfn.XLOOKUP(C188,Industry_Benchmark!$A$2:$A$82,Industry_Benchmark!$B$2:$B$82,"")</f>
        <v>0.26579002000000002</v>
      </c>
      <c r="F188" s="36">
        <f>D188-E188</f>
        <v>0</v>
      </c>
      <c r="G188" s="37">
        <f>IF(F188&gt;0,1,0)</f>
        <v>0</v>
      </c>
      <c r="H188" s="36">
        <v>0.112</v>
      </c>
      <c r="I188" s="36">
        <f>_xlfn.XLOOKUP(C188,Industry_Benchmark!$A$2:$A$82,Industry_Benchmark!$C$2:$C$82,"")</f>
        <v>0.112</v>
      </c>
      <c r="J188" s="36">
        <f>H188-I188</f>
        <v>0</v>
      </c>
      <c r="K188" s="37">
        <f>IF(J188&gt;0,1,0)</f>
        <v>0</v>
      </c>
      <c r="L188" s="35">
        <v>1.038</v>
      </c>
      <c r="M188" s="35">
        <f>_xlfn.XLOOKUP(C188,Industry_Benchmark!$A$2:$A$82,Industry_Benchmark!$D$2:$D$82,"")</f>
        <v>1.038</v>
      </c>
      <c r="N188" s="35">
        <f>L188-M188</f>
        <v>0</v>
      </c>
      <c r="O188" s="35">
        <f>IF(N188&gt;0,1,0)</f>
        <v>0</v>
      </c>
      <c r="P188" s="36">
        <v>0.19875000000000001</v>
      </c>
      <c r="Q188" s="36">
        <f>_xlfn.XLOOKUP(C188,Industry_Benchmark!$A$2:$A$82,Industry_Benchmark!$E$2:$E$82,"")</f>
        <v>0.19875000000000001</v>
      </c>
      <c r="R188" s="36">
        <f>P188-Q188</f>
        <v>0</v>
      </c>
      <c r="S188" s="37">
        <f>IF(R188&gt;0,1,0)</f>
        <v>0</v>
      </c>
      <c r="T188" s="35">
        <v>170.714</v>
      </c>
      <c r="U188" s="35">
        <f>_xlfn.XLOOKUP(C188,Industry_Benchmark!$A$2:$A$82,Industry_Benchmark!$F$2:$F$82,"")</f>
        <v>170.714</v>
      </c>
      <c r="V188" s="35">
        <f>T188-U188</f>
        <v>0</v>
      </c>
      <c r="W188" s="35">
        <f>IF(V188&gt;0,1,0)</f>
        <v>0</v>
      </c>
      <c r="X188" s="36">
        <v>1.45567</v>
      </c>
      <c r="Y188" s="36">
        <f>_xlfn.XLOOKUP(C188,Industry_Benchmark!$A$2:$A$82,Industry_Benchmark!$G$2:$G$82,"")</f>
        <v>1.45567</v>
      </c>
      <c r="Z188" s="59">
        <f>X188-Y188</f>
        <v>0</v>
      </c>
      <c r="AA188" s="35">
        <f>IF(Z188&gt;0,1,0)</f>
        <v>0</v>
      </c>
      <c r="AB188" s="60">
        <f>SUM(G188,K188,O188,S188,W188,AA188)</f>
        <v>0</v>
      </c>
      <c r="AC188" s="61">
        <f>AB188/6</f>
        <v>0</v>
      </c>
      <c r="AD188" s="62" t="str" cm="1">
        <f t="array" ref="AD188">_xlfn.IFS(
AB188=6,"Excellent",
AB188=5,"Strong",
AB188=4,"Good",
AB188=3,"Average",
AB188&lt;=2,"Weak"
)</f>
        <v>Weak</v>
      </c>
    </row>
    <row r="189" spans="1:30" x14ac:dyDescent="0.3">
      <c r="A189" s="12" t="s">
        <v>72</v>
      </c>
      <c r="B189" s="10" t="s">
        <v>73</v>
      </c>
      <c r="C189" s="10" t="s">
        <v>71</v>
      </c>
      <c r="D189" s="36">
        <v>2.3869999999999999E-2</v>
      </c>
      <c r="E189" s="36">
        <f>_xlfn.XLOOKUP(C189,Industry_Benchmark!$A$2:$A$82,Industry_Benchmark!$B$2:$B$82,"")</f>
        <v>4.7955999999999999E-2</v>
      </c>
      <c r="F189" s="36">
        <f>D189-E189</f>
        <v>-2.4086E-2</v>
      </c>
      <c r="G189" s="37">
        <f>IF(F189&gt;0,1,0)</f>
        <v>0</v>
      </c>
      <c r="H189" s="36">
        <v>5.0000000000000001E-3</v>
      </c>
      <c r="I189" s="36">
        <f>_xlfn.XLOOKUP(C189,Industry_Benchmark!$A$2:$A$82,Industry_Benchmark!$C$2:$C$82,"")</f>
        <v>7.6399999999999996E-2</v>
      </c>
      <c r="J189" s="36">
        <f>H189-I189</f>
        <v>-7.1399999999999991E-2</v>
      </c>
      <c r="K189" s="37">
        <f>IF(J189&gt;0,1,0)</f>
        <v>0</v>
      </c>
      <c r="L189" s="35">
        <v>0.92800000000000005</v>
      </c>
      <c r="M189" s="35">
        <f>_xlfn.XLOOKUP(C189,Industry_Benchmark!$A$2:$A$82,Industry_Benchmark!$D$2:$D$82,"")</f>
        <v>1.0478000000000001</v>
      </c>
      <c r="N189" s="35">
        <f>L189-M189</f>
        <v>-0.11980000000000002</v>
      </c>
      <c r="O189" s="35">
        <f>IF(N189&gt;0,1,0)</f>
        <v>0</v>
      </c>
      <c r="P189" s="36">
        <v>6.5199999999999994E-2</v>
      </c>
      <c r="Q189" s="36">
        <f>_xlfn.XLOOKUP(C189,Industry_Benchmark!$A$2:$A$82,Industry_Benchmark!$E$2:$E$82,"")</f>
        <v>7.6300002000000006E-2</v>
      </c>
      <c r="R189" s="36">
        <f>P189-Q189</f>
        <v>-1.1100002000000012E-2</v>
      </c>
      <c r="S189" s="37">
        <f>IF(R189&gt;0,1,0)</f>
        <v>0</v>
      </c>
      <c r="T189" s="35">
        <v>62.381999999999998</v>
      </c>
      <c r="U189" s="35">
        <f>_xlfn.XLOOKUP(C189,Industry_Benchmark!$A$2:$A$82,Industry_Benchmark!$F$2:$F$82,"")</f>
        <v>118.09080000000002</v>
      </c>
      <c r="V189" s="35">
        <f>T189-U189</f>
        <v>-55.708800000000018</v>
      </c>
      <c r="W189" s="35">
        <f>IF(V189&gt;0,1,0)</f>
        <v>0</v>
      </c>
      <c r="X189" s="36">
        <v>0.15539</v>
      </c>
      <c r="Y189" s="36">
        <f>_xlfn.XLOOKUP(C189,Industry_Benchmark!$A$2:$A$82,Industry_Benchmark!$G$2:$G$82,"")</f>
        <v>0.30520200399999997</v>
      </c>
      <c r="Z189" s="59">
        <f>X189-Y189</f>
        <v>-0.14981200399999997</v>
      </c>
      <c r="AA189" s="35">
        <f>IF(Z189&gt;0,1,0)</f>
        <v>0</v>
      </c>
      <c r="AB189" s="60">
        <f>SUM(G189,K189,O189,S189,W189,AA189)</f>
        <v>0</v>
      </c>
      <c r="AC189" s="61">
        <f>AB189/6</f>
        <v>0</v>
      </c>
      <c r="AD189" s="62" t="str" cm="1">
        <f t="array" ref="AD189">_xlfn.IFS(
AB189=6,"Excellent",
AB189=5,"Strong",
AB189=4,"Good",
AB189=3,"Average",
AB189&lt;=2,"Weak"
)</f>
        <v>Weak</v>
      </c>
    </row>
    <row r="190" spans="1:30" x14ac:dyDescent="0.3">
      <c r="A190" s="12" t="s">
        <v>120</v>
      </c>
      <c r="B190" s="10" t="s">
        <v>121</v>
      </c>
      <c r="C190" s="10" t="s">
        <v>119</v>
      </c>
      <c r="D190" s="36">
        <v>6.9610000000000005E-2</v>
      </c>
      <c r="E190" s="36">
        <f>_xlfn.XLOOKUP(C190,Industry_Benchmark!$A$2:$A$82,Industry_Benchmark!$B$2:$B$82,"")</f>
        <v>0.17165200400000002</v>
      </c>
      <c r="F190" s="36">
        <f>D190-E190</f>
        <v>-0.10204200400000002</v>
      </c>
      <c r="G190" s="37">
        <f>IF(F190&gt;0,1,0)</f>
        <v>0</v>
      </c>
      <c r="H190" s="36">
        <v>0.26600000000000001</v>
      </c>
      <c r="I190" s="36">
        <f>_xlfn.XLOOKUP(C190,Industry_Benchmark!$A$2:$A$82,Industry_Benchmark!$C$2:$C$82,"")</f>
        <v>0.28060000000000002</v>
      </c>
      <c r="J190" s="36">
        <f>H190-I190</f>
        <v>-1.4600000000000002E-2</v>
      </c>
      <c r="K190" s="37">
        <f>IF(J190&gt;0,1,0)</f>
        <v>0</v>
      </c>
      <c r="L190" s="35">
        <v>1.0609999999999999</v>
      </c>
      <c r="M190" s="35">
        <f>_xlfn.XLOOKUP(C190,Industry_Benchmark!$A$2:$A$82,Industry_Benchmark!$D$2:$D$82,"")</f>
        <v>1.3602000000000001</v>
      </c>
      <c r="N190" s="35">
        <f>L190-M190</f>
        <v>-0.29920000000000013</v>
      </c>
      <c r="O190" s="35">
        <f>IF(N190&gt;0,1,0)</f>
        <v>0</v>
      </c>
      <c r="P190" s="36">
        <v>8.2799999999999992E-3</v>
      </c>
      <c r="Q190" s="36">
        <f>_xlfn.XLOOKUP(C190,Industry_Benchmark!$A$2:$A$82,Industry_Benchmark!$E$2:$E$82,"")</f>
        <v>6.5944000000000003E-2</v>
      </c>
      <c r="R190" s="36">
        <f>P190-Q190</f>
        <v>-5.7664000000000007E-2</v>
      </c>
      <c r="S190" s="37">
        <f>IF(R190&gt;0,1,0)</f>
        <v>0</v>
      </c>
      <c r="T190" s="35">
        <v>25.131</v>
      </c>
      <c r="U190" s="35">
        <f>_xlfn.XLOOKUP(C190,Industry_Benchmark!$A$2:$A$82,Industry_Benchmark!$F$2:$F$82,"")</f>
        <v>73.073599999999999</v>
      </c>
      <c r="V190" s="35">
        <f>T190-U190</f>
        <v>-47.942599999999999</v>
      </c>
      <c r="W190" s="35">
        <f>IF(V190&gt;0,1,0)</f>
        <v>0</v>
      </c>
      <c r="X190" s="36">
        <v>3.5720002000000001E-2</v>
      </c>
      <c r="Y190" s="36">
        <f>_xlfn.XLOOKUP(C190,Industry_Benchmark!$A$2:$A$82,Industry_Benchmark!$G$2:$G$82,"")</f>
        <v>0.52347798119999989</v>
      </c>
      <c r="Z190" s="59">
        <f>X190-Y190</f>
        <v>-0.48775797919999986</v>
      </c>
      <c r="AA190" s="35">
        <f>IF(Z190&gt;0,1,0)</f>
        <v>0</v>
      </c>
      <c r="AB190" s="60">
        <f>SUM(G190,K190,O190,S190,W190,AA190)</f>
        <v>0</v>
      </c>
      <c r="AC190" s="61">
        <f>AB190/6</f>
        <v>0</v>
      </c>
      <c r="AD190" s="62" t="str" cm="1">
        <f t="array" ref="AD190">_xlfn.IFS(
AB190=6,"Excellent",
AB190=5,"Strong",
AB190=4,"Good",
AB190=3,"Average",
AB190&lt;=2,"Weak"
)</f>
        <v>Weak</v>
      </c>
    </row>
    <row r="191" spans="1:30" x14ac:dyDescent="0.3">
      <c r="A191" s="12" t="s">
        <v>130</v>
      </c>
      <c r="B191" s="10" t="s">
        <v>131</v>
      </c>
      <c r="C191" s="10" t="s">
        <v>129</v>
      </c>
      <c r="D191" s="36">
        <v>0.13322000000000001</v>
      </c>
      <c r="E191" s="36">
        <f>_xlfn.XLOOKUP(C191,Industry_Benchmark!$A$2:$A$82,Industry_Benchmark!$B$2:$B$82,"")</f>
        <v>0.13322000000000001</v>
      </c>
      <c r="F191" s="36">
        <f>D191-E191</f>
        <v>0</v>
      </c>
      <c r="G191" s="37">
        <f>IF(F191&gt;0,1,0)</f>
        <v>0</v>
      </c>
      <c r="H191" s="36">
        <v>0.01</v>
      </c>
      <c r="I191" s="36">
        <f>_xlfn.XLOOKUP(C191,Industry_Benchmark!$A$2:$A$82,Industry_Benchmark!$C$2:$C$82,"")</f>
        <v>0.01</v>
      </c>
      <c r="J191" s="36">
        <f>H191-I191</f>
        <v>0</v>
      </c>
      <c r="K191" s="37">
        <f>IF(J191&gt;0,1,0)</f>
        <v>0</v>
      </c>
      <c r="L191" s="35">
        <v>3.0680000000000001</v>
      </c>
      <c r="M191" s="35">
        <f>_xlfn.XLOOKUP(C191,Industry_Benchmark!$A$2:$A$82,Industry_Benchmark!$D$2:$D$82,"")</f>
        <v>3.0680000000000001</v>
      </c>
      <c r="N191" s="35">
        <f>L191-M191</f>
        <v>0</v>
      </c>
      <c r="O191" s="35">
        <f>IF(N191&gt;0,1,0)</f>
        <v>0</v>
      </c>
      <c r="P191" s="36">
        <v>0.12352</v>
      </c>
      <c r="Q191" s="36">
        <f>_xlfn.XLOOKUP(C191,Industry_Benchmark!$A$2:$A$82,Industry_Benchmark!$E$2:$E$82,"")</f>
        <v>0.12352</v>
      </c>
      <c r="R191" s="36">
        <f>P191-Q191</f>
        <v>0</v>
      </c>
      <c r="S191" s="37">
        <f>IF(R191&gt;0,1,0)</f>
        <v>0</v>
      </c>
      <c r="T191" s="35">
        <v>85.251999999999995</v>
      </c>
      <c r="U191" s="35">
        <f>_xlfn.XLOOKUP(C191,Industry_Benchmark!$A$2:$A$82,Industry_Benchmark!$F$2:$F$82,"")</f>
        <v>85.251999999999995</v>
      </c>
      <c r="V191" s="35">
        <f>T191-U191</f>
        <v>0</v>
      </c>
      <c r="W191" s="35">
        <f>IF(V191&gt;0,1,0)</f>
        <v>0</v>
      </c>
      <c r="X191" s="36">
        <v>0.48263</v>
      </c>
      <c r="Y191" s="36">
        <f>_xlfn.XLOOKUP(C191,Industry_Benchmark!$A$2:$A$82,Industry_Benchmark!$G$2:$G$82,"")</f>
        <v>0.48263</v>
      </c>
      <c r="Z191" s="59">
        <f>X191-Y191</f>
        <v>0</v>
      </c>
      <c r="AA191" s="35">
        <f>IF(Z191&gt;0,1,0)</f>
        <v>0</v>
      </c>
      <c r="AB191" s="60">
        <f>SUM(G191,K191,O191,S191,W191,AA191)</f>
        <v>0</v>
      </c>
      <c r="AC191" s="61">
        <f>AB191/6</f>
        <v>0</v>
      </c>
      <c r="AD191" s="62" t="str" cm="1">
        <f t="array" ref="AD191">_xlfn.IFS(
AB191=6,"Excellent",
AB191=5,"Strong",
AB191=4,"Good",
AB191=3,"Average",
AB191&lt;=2,"Weak"
)</f>
        <v>Weak</v>
      </c>
    </row>
    <row r="192" spans="1:30" x14ac:dyDescent="0.3">
      <c r="A192" s="12" t="s">
        <v>151</v>
      </c>
      <c r="B192" s="10" t="s">
        <v>152</v>
      </c>
      <c r="C192" s="10" t="s">
        <v>116</v>
      </c>
      <c r="D192" s="36">
        <v>6.6500003000000002E-3</v>
      </c>
      <c r="E192" s="36">
        <f>_xlfn.XLOOKUP(C192,Industry_Benchmark!$A$2:$A$82,Industry_Benchmark!$B$2:$B$82,"")</f>
        <v>6.9526670100000007E-2</v>
      </c>
      <c r="F192" s="36">
        <f>D192-E192</f>
        <v>-6.2876669800000007E-2</v>
      </c>
      <c r="G192" s="37">
        <f>IF(F192&gt;0,1,0)</f>
        <v>0</v>
      </c>
      <c r="H192" s="36">
        <v>-5.7000000000000002E-2</v>
      </c>
      <c r="I192" s="36">
        <f>_xlfn.XLOOKUP(C192,Industry_Benchmark!$A$2:$A$82,Industry_Benchmark!$C$2:$C$82,"")</f>
        <v>2.6666666666666644E-3</v>
      </c>
      <c r="J192" s="36">
        <f>H192-I192</f>
        <v>-5.9666666666666666E-2</v>
      </c>
      <c r="K192" s="37">
        <f>IF(J192&gt;0,1,0)</f>
        <v>0</v>
      </c>
      <c r="L192" s="35">
        <v>0.70099999999999996</v>
      </c>
      <c r="M192" s="35">
        <f>_xlfn.XLOOKUP(C192,Industry_Benchmark!$A$2:$A$82,Industry_Benchmark!$D$2:$D$82,"")</f>
        <v>0.85466666666666669</v>
      </c>
      <c r="N192" s="35">
        <f>L192-M192</f>
        <v>-0.15366666666666673</v>
      </c>
      <c r="O192" s="35">
        <f>IF(N192&gt;0,1,0)</f>
        <v>0</v>
      </c>
      <c r="P192" s="36">
        <v>3.7240000000000002E-2</v>
      </c>
      <c r="Q192" s="36">
        <f>_xlfn.XLOOKUP(C192,Industry_Benchmark!$A$2:$A$82,Industry_Benchmark!$E$2:$E$82,"")</f>
        <v>4.439333333333334E-2</v>
      </c>
      <c r="R192" s="36">
        <f>P192-Q192</f>
        <v>-7.1533333333333379E-3</v>
      </c>
      <c r="S192" s="37">
        <f>IF(R192&gt;0,1,0)</f>
        <v>0</v>
      </c>
      <c r="T192" s="35">
        <v>115.572</v>
      </c>
      <c r="U192" s="35">
        <f>_xlfn.XLOOKUP(C192,Industry_Benchmark!$A$2:$A$82,Industry_Benchmark!$F$2:$F$82,"")</f>
        <v>167.02766666666668</v>
      </c>
      <c r="V192" s="35">
        <f>T192-U192</f>
        <v>-51.455666666666673</v>
      </c>
      <c r="W192" s="35">
        <f>IF(V192&gt;0,1,0)</f>
        <v>0</v>
      </c>
      <c r="X192" s="36">
        <v>1.3679999999999999E-2</v>
      </c>
      <c r="Y192" s="36">
        <f>_xlfn.XLOOKUP(C192,Industry_Benchmark!$A$2:$A$82,Industry_Benchmark!$G$2:$G$82,"")</f>
        <v>0.12344333333333335</v>
      </c>
      <c r="Z192" s="59">
        <f>X192-Y192</f>
        <v>-0.10976333333333335</v>
      </c>
      <c r="AA192" s="35">
        <f>IF(Z192&gt;0,1,0)</f>
        <v>0</v>
      </c>
      <c r="AB192" s="60">
        <f>SUM(G192,K192,O192,S192,W192,AA192)</f>
        <v>0</v>
      </c>
      <c r="AC192" s="61">
        <f>AB192/6</f>
        <v>0</v>
      </c>
      <c r="AD192" s="62" t="str" cm="1">
        <f t="array" ref="AD192">_xlfn.IFS(
AB192=6,"Excellent",
AB192=5,"Strong",
AB192=4,"Good",
AB192=3,"Average",
AB192&lt;=2,"Weak"
)</f>
        <v>Weak</v>
      </c>
    </row>
    <row r="193" spans="1:30" x14ac:dyDescent="0.3">
      <c r="A193" s="12" t="s">
        <v>159</v>
      </c>
      <c r="B193" s="10" t="s">
        <v>160</v>
      </c>
      <c r="C193" s="10" t="s">
        <v>158</v>
      </c>
      <c r="D193" s="36">
        <v>0.12425</v>
      </c>
      <c r="E193" s="36">
        <f>_xlfn.XLOOKUP(C193,Industry_Benchmark!$A$2:$A$82,Industry_Benchmark!$B$2:$B$82,"")</f>
        <v>0.15536000333333333</v>
      </c>
      <c r="F193" s="36">
        <f>D193-E193</f>
        <v>-3.111000333333333E-2</v>
      </c>
      <c r="G193" s="37">
        <f>IF(F193&gt;0,1,0)</f>
        <v>0</v>
      </c>
      <c r="H193" s="36">
        <v>0.14099999999999999</v>
      </c>
      <c r="I193" s="36">
        <f>_xlfn.XLOOKUP(C193,Industry_Benchmark!$A$2:$A$82,Industry_Benchmark!$C$2:$C$82,"")</f>
        <v>0.21066666666666664</v>
      </c>
      <c r="J193" s="36">
        <f>H193-I193</f>
        <v>-6.9666666666666655E-2</v>
      </c>
      <c r="K193" s="37">
        <f>IF(J193&gt;0,1,0)</f>
        <v>0</v>
      </c>
      <c r="L193" s="35">
        <v>0.745</v>
      </c>
      <c r="M193" s="35">
        <f>_xlfn.XLOOKUP(C193,Industry_Benchmark!$A$2:$A$82,Industry_Benchmark!$D$2:$D$82,"")</f>
        <v>1.6655</v>
      </c>
      <c r="N193" s="35">
        <f>L193-M193</f>
        <v>-0.92049999999999998</v>
      </c>
      <c r="O193" s="35">
        <f>IF(N193&gt;0,1,0)</f>
        <v>0</v>
      </c>
      <c r="P193" s="36">
        <v>4.0579999999999998E-2</v>
      </c>
      <c r="Q193" s="36">
        <f>_xlfn.XLOOKUP(C193,Industry_Benchmark!$A$2:$A$82,Industry_Benchmark!$E$2:$E$82,"")</f>
        <v>6.7101666833333337E-2</v>
      </c>
      <c r="R193" s="36">
        <f>P193-Q193</f>
        <v>-2.6521666833333339E-2</v>
      </c>
      <c r="S193" s="37">
        <f>IF(R193&gt;0,1,0)</f>
        <v>0</v>
      </c>
      <c r="T193" s="35">
        <v>31.265000000000001</v>
      </c>
      <c r="U193" s="35">
        <f>_xlfn.XLOOKUP(C193,Industry_Benchmark!$A$2:$A$82,Industry_Benchmark!$F$2:$F$82,"")</f>
        <v>123.15566666666665</v>
      </c>
      <c r="V193" s="35">
        <f>T193-U193</f>
        <v>-91.890666666666647</v>
      </c>
      <c r="W193" s="35">
        <f>IF(V193&gt;0,1,0)</f>
        <v>0</v>
      </c>
      <c r="X193" s="36">
        <v>8.3260000000000001E-2</v>
      </c>
      <c r="Y193" s="36">
        <f>_xlfn.XLOOKUP(C193,Industry_Benchmark!$A$2:$A$82,Industry_Benchmark!$G$2:$G$82,"")</f>
        <v>0.26484833499999999</v>
      </c>
      <c r="Z193" s="59">
        <f>X193-Y193</f>
        <v>-0.18158833499999999</v>
      </c>
      <c r="AA193" s="35">
        <f>IF(Z193&gt;0,1,0)</f>
        <v>0</v>
      </c>
      <c r="AB193" s="60">
        <f>SUM(G193,K193,O193,S193,W193,AA193)</f>
        <v>0</v>
      </c>
      <c r="AC193" s="61">
        <f>AB193/6</f>
        <v>0</v>
      </c>
      <c r="AD193" s="62" t="str" cm="1">
        <f t="array" ref="AD193">_xlfn.IFS(
AB193=6,"Excellent",
AB193=5,"Strong",
AB193=4,"Good",
AB193=3,"Average",
AB193&lt;=2,"Weak"
)</f>
        <v>Weak</v>
      </c>
    </row>
    <row r="194" spans="1:30" x14ac:dyDescent="0.3">
      <c r="A194" s="12" t="s">
        <v>185</v>
      </c>
      <c r="B194" s="10" t="s">
        <v>186</v>
      </c>
      <c r="C194" s="10" t="s">
        <v>65</v>
      </c>
      <c r="D194" s="36">
        <v>0.20086001000000001</v>
      </c>
      <c r="E194" s="36">
        <f>_xlfn.XLOOKUP(C194,Industry_Benchmark!$A$2:$A$82,Industry_Benchmark!$B$2:$B$82,"")</f>
        <v>0.39226666333333338</v>
      </c>
      <c r="F194" s="36">
        <f>D194-E194</f>
        <v>-0.19140665333333337</v>
      </c>
      <c r="G194" s="37">
        <f>IF(F194&gt;0,1,0)</f>
        <v>0</v>
      </c>
      <c r="H194" s="36">
        <v>0.13200000000000001</v>
      </c>
      <c r="I194" s="36">
        <f>_xlfn.XLOOKUP(C194,Industry_Benchmark!$A$2:$A$82,Industry_Benchmark!$C$2:$C$82,"")</f>
        <v>0.21299999999999999</v>
      </c>
      <c r="J194" s="36">
        <f>H194-I194</f>
        <v>-8.0999999999999989E-2</v>
      </c>
      <c r="K194" s="37">
        <f>IF(J194&gt;0,1,0)</f>
        <v>0</v>
      </c>
      <c r="L194" s="35">
        <v>1.298</v>
      </c>
      <c r="M194" s="35">
        <f>_xlfn.XLOOKUP(C194,Industry_Benchmark!$A$2:$A$82,Industry_Benchmark!$D$2:$D$82,"")</f>
        <v>1.327</v>
      </c>
      <c r="N194" s="35">
        <f>L194-M194</f>
        <v>-2.8999999999999915E-2</v>
      </c>
      <c r="O194" s="35">
        <f>IF(N194&gt;0,1,0)</f>
        <v>0</v>
      </c>
      <c r="P194" s="36">
        <v>3.8110003000000003E-2</v>
      </c>
      <c r="Q194" s="36">
        <f>_xlfn.XLOOKUP(C194,Industry_Benchmark!$A$2:$A$82,Industry_Benchmark!$E$2:$E$82,"")</f>
        <v>0.11619666766666666</v>
      </c>
      <c r="R194" s="36">
        <f>P194-Q194</f>
        <v>-7.8086664666666653E-2</v>
      </c>
      <c r="S194" s="37">
        <f>IF(R194&gt;0,1,0)</f>
        <v>0</v>
      </c>
      <c r="T194" s="35">
        <v>43.902000000000001</v>
      </c>
      <c r="U194" s="35">
        <f>_xlfn.XLOOKUP(C194,Industry_Benchmark!$A$2:$A$82,Industry_Benchmark!$F$2:$F$82,"")</f>
        <v>99.888333333333321</v>
      </c>
      <c r="V194" s="35">
        <f>T194-U194</f>
        <v>-55.98633333333332</v>
      </c>
      <c r="W194" s="35">
        <f>IF(V194&gt;0,1,0)</f>
        <v>0</v>
      </c>
      <c r="X194" s="36">
        <v>0.24299999</v>
      </c>
      <c r="Y194" s="36">
        <f>_xlfn.XLOOKUP(C194,Industry_Benchmark!$A$2:$A$82,Industry_Benchmark!$G$2:$G$82,"")</f>
        <v>0.61539335666666661</v>
      </c>
      <c r="Z194" s="59">
        <f>X194-Y194</f>
        <v>-0.37239336666666661</v>
      </c>
      <c r="AA194" s="35">
        <f>IF(Z194&gt;0,1,0)</f>
        <v>0</v>
      </c>
      <c r="AB194" s="60">
        <f>SUM(G194,K194,O194,S194,W194,AA194)</f>
        <v>0</v>
      </c>
      <c r="AC194" s="61">
        <f>AB194/6</f>
        <v>0</v>
      </c>
      <c r="AD194" s="62" t="str" cm="1">
        <f t="array" ref="AD194">_xlfn.IFS(
AB194=6,"Excellent",
AB194=5,"Strong",
AB194=4,"Good",
AB194=3,"Average",
AB194&lt;=2,"Weak"
)</f>
        <v>Weak</v>
      </c>
    </row>
    <row r="195" spans="1:30" x14ac:dyDescent="0.3">
      <c r="A195" s="12" t="s">
        <v>211</v>
      </c>
      <c r="B195" s="10" t="s">
        <v>212</v>
      </c>
      <c r="C195" s="10" t="s">
        <v>210</v>
      </c>
      <c r="D195" s="36">
        <v>0.40217999999999998</v>
      </c>
      <c r="E195" s="36">
        <f>_xlfn.XLOOKUP(C195,Industry_Benchmark!$A$2:$A$82,Industry_Benchmark!$B$2:$B$82,"")</f>
        <v>0.454235</v>
      </c>
      <c r="F195" s="36">
        <f>D195-E195</f>
        <v>-5.2055000000000018E-2</v>
      </c>
      <c r="G195" s="37">
        <f>IF(F195&gt;0,1,0)</f>
        <v>0</v>
      </c>
      <c r="H195" s="36">
        <v>0.10199999999999999</v>
      </c>
      <c r="I195" s="36">
        <f>_xlfn.XLOOKUP(C195,Industry_Benchmark!$A$2:$A$82,Industry_Benchmark!$C$2:$C$82,"")</f>
        <v>0.16500000000000001</v>
      </c>
      <c r="J195" s="36">
        <f>H195-I195</f>
        <v>-6.3000000000000014E-2</v>
      </c>
      <c r="K195" s="37">
        <f>IF(J195&gt;0,1,0)</f>
        <v>0</v>
      </c>
      <c r="L195" s="35">
        <v>0.84799999999999998</v>
      </c>
      <c r="M195" s="35">
        <f>_xlfn.XLOOKUP(C195,Industry_Benchmark!$A$2:$A$82,Industry_Benchmark!$D$2:$D$82,"")</f>
        <v>1.4615</v>
      </c>
      <c r="N195" s="35">
        <f>L195-M195</f>
        <v>-0.61350000000000005</v>
      </c>
      <c r="O195" s="35">
        <f>IF(N195&gt;0,1,0)</f>
        <v>0</v>
      </c>
      <c r="P195" s="36">
        <v>1.9779999999999999E-2</v>
      </c>
      <c r="Q195" s="36">
        <f>_xlfn.XLOOKUP(C195,Industry_Benchmark!$A$2:$A$82,Industry_Benchmark!$E$2:$E$82,"")</f>
        <v>4.9790000000000001E-2</v>
      </c>
      <c r="R195" s="36">
        <f>P195-Q195</f>
        <v>-3.0010000000000002E-2</v>
      </c>
      <c r="S195" s="37">
        <f>IF(R195&gt;0,1,0)</f>
        <v>0</v>
      </c>
      <c r="T195" s="35">
        <v>47.759</v>
      </c>
      <c r="U195" s="35">
        <f>_xlfn.XLOOKUP(C195,Industry_Benchmark!$A$2:$A$82,Industry_Benchmark!$F$2:$F$82,"")</f>
        <v>55.820499999999996</v>
      </c>
      <c r="V195" s="35">
        <f>T195-U195</f>
        <v>-8.0614999999999952</v>
      </c>
      <c r="W195" s="35">
        <f>IF(V195&gt;0,1,0)</f>
        <v>0</v>
      </c>
      <c r="X195" s="36">
        <v>5.8860000000000003E-2</v>
      </c>
      <c r="Y195" s="36">
        <f>_xlfn.XLOOKUP(C195,Industry_Benchmark!$A$2:$A$82,Industry_Benchmark!$G$2:$G$82,"")</f>
        <v>0.12606500000000001</v>
      </c>
      <c r="Z195" s="59">
        <f>X195-Y195</f>
        <v>-6.7205000000000015E-2</v>
      </c>
      <c r="AA195" s="35">
        <f>IF(Z195&gt;0,1,0)</f>
        <v>0</v>
      </c>
      <c r="AB195" s="60">
        <f>SUM(G195,K195,O195,S195,W195,AA195)</f>
        <v>0</v>
      </c>
      <c r="AC195" s="61">
        <f>AB195/6</f>
        <v>0</v>
      </c>
      <c r="AD195" s="62" t="str" cm="1">
        <f t="array" ref="AD195">_xlfn.IFS(
AB195=6,"Excellent",
AB195=5,"Strong",
AB195=4,"Good",
AB195=3,"Average",
AB195&lt;=2,"Weak"
)</f>
        <v>Weak</v>
      </c>
    </row>
    <row r="196" spans="1:30" x14ac:dyDescent="0.3">
      <c r="A196" s="12" t="s">
        <v>216</v>
      </c>
      <c r="B196" s="10" t="s">
        <v>217</v>
      </c>
      <c r="C196" s="10" t="s">
        <v>165</v>
      </c>
      <c r="D196" s="36">
        <v>-6.7460000000000006E-2</v>
      </c>
      <c r="E196" s="36">
        <f>_xlfn.XLOOKUP(C196,Industry_Benchmark!$A$2:$A$82,Industry_Benchmark!$B$2:$B$82,"")</f>
        <v>8.6845711000000006E-2</v>
      </c>
      <c r="F196" s="36">
        <f>D196-E196</f>
        <v>-0.15430571100000001</v>
      </c>
      <c r="G196" s="37">
        <f>IF(F196&gt;0,1,0)</f>
        <v>0</v>
      </c>
      <c r="H196" s="36">
        <v>-3.3000000000000002E-2</v>
      </c>
      <c r="I196" s="36">
        <f>_xlfn.XLOOKUP(C196,Industry_Benchmark!$A$2:$A$82,Industry_Benchmark!$C$2:$C$82,"")</f>
        <v>-5.5714285714285701E-3</v>
      </c>
      <c r="J196" s="36">
        <f>H196-I196</f>
        <v>-2.7428571428571431E-2</v>
      </c>
      <c r="K196" s="37">
        <f>IF(J196&gt;0,1,0)</f>
        <v>0</v>
      </c>
      <c r="L196" s="35">
        <v>1.325</v>
      </c>
      <c r="M196" s="35">
        <f>_xlfn.XLOOKUP(C196,Industry_Benchmark!$A$2:$A$82,Industry_Benchmark!$D$2:$D$82,"")</f>
        <v>1.9000000000000001</v>
      </c>
      <c r="N196" s="35">
        <f>L196-M196</f>
        <v>-0.57500000000000018</v>
      </c>
      <c r="O196" s="35">
        <f>IF(N196&gt;0,1,0)</f>
        <v>0</v>
      </c>
      <c r="P196" s="36">
        <v>-2.1700000000000001E-3</v>
      </c>
      <c r="Q196" s="36">
        <f>_xlfn.XLOOKUP(C196,Industry_Benchmark!$A$2:$A$82,Industry_Benchmark!$E$2:$E$82,"")</f>
        <v>5.5819999142857138E-2</v>
      </c>
      <c r="R196" s="36">
        <f>P196-Q196</f>
        <v>-5.7989999142857136E-2</v>
      </c>
      <c r="S196" s="37">
        <f>IF(R196&gt;0,1,0)</f>
        <v>0</v>
      </c>
      <c r="T196" s="35">
        <v>0</v>
      </c>
      <c r="U196" s="35">
        <f>_xlfn.XLOOKUP(C196,Industry_Benchmark!$A$2:$A$82,Industry_Benchmark!$F$2:$F$82,"")</f>
        <v>56.095714285714287</v>
      </c>
      <c r="V196" s="35">
        <f>T196-U196</f>
        <v>-56.095714285714287</v>
      </c>
      <c r="W196" s="35">
        <f>IF(V196&gt;0,1,0)</f>
        <v>0</v>
      </c>
      <c r="X196" s="36"/>
      <c r="Y196" s="36">
        <f>_xlfn.XLOOKUP(C196,Industry_Benchmark!$A$2:$A$82,Industry_Benchmark!$G$2:$G$82,"")</f>
        <v>0.33201799800000004</v>
      </c>
      <c r="Z196" s="59">
        <f>X196-Y196</f>
        <v>-0.33201799800000004</v>
      </c>
      <c r="AA196" s="35">
        <f>IF(Z196&gt;0,1,0)</f>
        <v>0</v>
      </c>
      <c r="AB196" s="60">
        <f>SUM(G196,K196,O196,S196,W196,AA196)</f>
        <v>0</v>
      </c>
      <c r="AC196" s="61">
        <f>AB196/6</f>
        <v>0</v>
      </c>
      <c r="AD196" s="62" t="str" cm="1">
        <f t="array" ref="AD196">_xlfn.IFS(
AB196=6,"Excellent",
AB196=5,"Strong",
AB196=4,"Good",
AB196=3,"Average",
AB196&lt;=2,"Weak"
)</f>
        <v>Weak</v>
      </c>
    </row>
    <row r="197" spans="1:30" x14ac:dyDescent="0.3">
      <c r="A197" s="12" t="s">
        <v>237</v>
      </c>
      <c r="B197" s="10" t="s">
        <v>238</v>
      </c>
      <c r="C197" s="10" t="s">
        <v>172</v>
      </c>
      <c r="D197" s="36">
        <v>0.13164000000000001</v>
      </c>
      <c r="E197" s="36">
        <f>_xlfn.XLOOKUP(C197,Industry_Benchmark!$A$2:$A$82,Industry_Benchmark!$B$2:$B$82,"")</f>
        <v>0.21205499999999999</v>
      </c>
      <c r="F197" s="36">
        <f>D197-E197</f>
        <v>-8.0414999999999986E-2</v>
      </c>
      <c r="G197" s="37">
        <f>IF(F197&gt;0,1,0)</f>
        <v>0</v>
      </c>
      <c r="H197" s="36">
        <v>-2.5999999999999999E-2</v>
      </c>
      <c r="I197" s="36">
        <f>_xlfn.XLOOKUP(C197,Industry_Benchmark!$A$2:$A$82,Industry_Benchmark!$C$2:$C$82,"")</f>
        <v>3.2500000000000001E-2</v>
      </c>
      <c r="J197" s="36">
        <f>H197-I197</f>
        <v>-5.8499999999999996E-2</v>
      </c>
      <c r="K197" s="37">
        <f>IF(J197&gt;0,1,0)</f>
        <v>0</v>
      </c>
      <c r="L197" s="35">
        <v>0.74199999999999999</v>
      </c>
      <c r="M197" s="35">
        <f>_xlfn.XLOOKUP(C197,Industry_Benchmark!$A$2:$A$82,Industry_Benchmark!$D$2:$D$82,"")</f>
        <v>0.87</v>
      </c>
      <c r="N197" s="35">
        <f>L197-M197</f>
        <v>-0.128</v>
      </c>
      <c r="O197" s="35">
        <f>IF(N197&gt;0,1,0)</f>
        <v>0</v>
      </c>
      <c r="P197" s="36">
        <v>0.17232001</v>
      </c>
      <c r="Q197" s="36">
        <f>_xlfn.XLOOKUP(C197,Industry_Benchmark!$A$2:$A$82,Industry_Benchmark!$E$2:$E$82,"")</f>
        <v>0.187360005</v>
      </c>
      <c r="R197" s="36">
        <f>P197-Q197</f>
        <v>-1.5039995E-2</v>
      </c>
      <c r="S197" s="37">
        <f>IF(R197&gt;0,1,0)</f>
        <v>0</v>
      </c>
      <c r="T197" s="35">
        <v>0</v>
      </c>
      <c r="U197" s="35">
        <f>_xlfn.XLOOKUP(C197,Industry_Benchmark!$A$2:$A$82,Industry_Benchmark!$F$2:$F$82,"")</f>
        <v>0</v>
      </c>
      <c r="V197" s="35">
        <f>T197-U197</f>
        <v>0</v>
      </c>
      <c r="W197" s="35">
        <f>IF(V197&gt;0,1,0)</f>
        <v>0</v>
      </c>
      <c r="X197" s="36">
        <v>2.7119799000000002</v>
      </c>
      <c r="Y197" s="36">
        <f>_xlfn.XLOOKUP(C197,Industry_Benchmark!$A$2:$A$82,Industry_Benchmark!$G$2:$G$82,"")</f>
        <v>2.7119799000000002</v>
      </c>
      <c r="Z197" s="59">
        <f>X197-Y197</f>
        <v>0</v>
      </c>
      <c r="AA197" s="35">
        <f>IF(Z197&gt;0,1,0)</f>
        <v>0</v>
      </c>
      <c r="AB197" s="60">
        <f>SUM(G197,K197,O197,S197,W197,AA197)</f>
        <v>0</v>
      </c>
      <c r="AC197" s="61">
        <f>AB197/6</f>
        <v>0</v>
      </c>
      <c r="AD197" s="62" t="str" cm="1">
        <f t="array" ref="AD197">_xlfn.IFS(
AB197=6,"Excellent",
AB197=5,"Strong",
AB197=4,"Good",
AB197=3,"Average",
AB197&lt;=2,"Weak"
)</f>
        <v>Weak</v>
      </c>
    </row>
    <row r="198" spans="1:30" x14ac:dyDescent="0.3">
      <c r="A198" s="12" t="s">
        <v>240</v>
      </c>
      <c r="B198" s="10" t="s">
        <v>241</v>
      </c>
      <c r="C198" s="10" t="s">
        <v>239</v>
      </c>
      <c r="D198" s="36">
        <v>4.1450000000000001E-2</v>
      </c>
      <c r="E198" s="36">
        <f>_xlfn.XLOOKUP(C198,Industry_Benchmark!$A$2:$A$82,Industry_Benchmark!$B$2:$B$82,"")</f>
        <v>4.1450000000000001E-2</v>
      </c>
      <c r="F198" s="36">
        <f>D198-E198</f>
        <v>0</v>
      </c>
      <c r="G198" s="37">
        <f>IF(F198&gt;0,1,0)</f>
        <v>0</v>
      </c>
      <c r="H198" s="36">
        <v>0.77100000000000002</v>
      </c>
      <c r="I198" s="36">
        <f>_xlfn.XLOOKUP(C198,Industry_Benchmark!$A$2:$A$82,Industry_Benchmark!$C$2:$C$82,"")</f>
        <v>0.77100000000000002</v>
      </c>
      <c r="J198" s="36">
        <f>H198-I198</f>
        <v>0</v>
      </c>
      <c r="K198" s="37">
        <f>IF(J198&gt;0,1,0)</f>
        <v>0</v>
      </c>
      <c r="L198" s="35">
        <v>2.4830000000000001</v>
      </c>
      <c r="M198" s="35">
        <f>_xlfn.XLOOKUP(C198,Industry_Benchmark!$A$2:$A$82,Industry_Benchmark!$D$2:$D$82,"")</f>
        <v>2.4830000000000001</v>
      </c>
      <c r="N198" s="35">
        <f>L198-M198</f>
        <v>0</v>
      </c>
      <c r="O198" s="35">
        <f>IF(N198&gt;0,1,0)</f>
        <v>0</v>
      </c>
      <c r="P198" s="36">
        <v>4.3749999999999997E-2</v>
      </c>
      <c r="Q198" s="36">
        <f>_xlfn.XLOOKUP(C198,Industry_Benchmark!$A$2:$A$82,Industry_Benchmark!$E$2:$E$82,"")</f>
        <v>4.3749999999999997E-2</v>
      </c>
      <c r="R198" s="36">
        <f>P198-Q198</f>
        <v>0</v>
      </c>
      <c r="S198" s="37">
        <f>IF(R198&gt;0,1,0)</f>
        <v>0</v>
      </c>
      <c r="T198" s="35">
        <v>208.00700000000001</v>
      </c>
      <c r="U198" s="35">
        <f>_xlfn.XLOOKUP(C198,Industry_Benchmark!$A$2:$A$82,Industry_Benchmark!$F$2:$F$82,"")</f>
        <v>208.00700000000001</v>
      </c>
      <c r="V198" s="35">
        <f>T198-U198</f>
        <v>0</v>
      </c>
      <c r="W198" s="35">
        <f>IF(V198&gt;0,1,0)</f>
        <v>0</v>
      </c>
      <c r="X198" s="36">
        <v>7.3050000000000004E-2</v>
      </c>
      <c r="Y198" s="36">
        <f>_xlfn.XLOOKUP(C198,Industry_Benchmark!$A$2:$A$82,Industry_Benchmark!$G$2:$G$82,"")</f>
        <v>7.3050000000000004E-2</v>
      </c>
      <c r="Z198" s="59">
        <f>X198-Y198</f>
        <v>0</v>
      </c>
      <c r="AA198" s="35">
        <f>IF(Z198&gt;0,1,0)</f>
        <v>0</v>
      </c>
      <c r="AB198" s="60">
        <f>SUM(G198,K198,O198,S198,W198,AA198)</f>
        <v>0</v>
      </c>
      <c r="AC198" s="61">
        <f>AB198/6</f>
        <v>0</v>
      </c>
      <c r="AD198" s="62" t="str" cm="1">
        <f t="array" ref="AD198">_xlfn.IFS(
AB198=6,"Excellent",
AB198=5,"Strong",
AB198=4,"Good",
AB198=3,"Average",
AB198&lt;=2,"Weak"
)</f>
        <v>Weak</v>
      </c>
    </row>
    <row r="199" spans="1:30" x14ac:dyDescent="0.3">
      <c r="A199" s="12" t="s">
        <v>249</v>
      </c>
      <c r="B199" s="10" t="s">
        <v>250</v>
      </c>
      <c r="C199" s="10" t="s">
        <v>248</v>
      </c>
      <c r="D199" s="36">
        <v>0.26196000000000003</v>
      </c>
      <c r="E199" s="36">
        <f>_xlfn.XLOOKUP(C199,Industry_Benchmark!$A$2:$A$82,Industry_Benchmark!$B$2:$B$82,"")</f>
        <v>0.26196000000000003</v>
      </c>
      <c r="F199" s="36">
        <f>D199-E199</f>
        <v>0</v>
      </c>
      <c r="G199" s="37">
        <f>IF(F199&gt;0,1,0)</f>
        <v>0</v>
      </c>
      <c r="H199" s="36">
        <v>8.8999999999999996E-2</v>
      </c>
      <c r="I199" s="36">
        <f>_xlfn.XLOOKUP(C199,Industry_Benchmark!$A$2:$A$82,Industry_Benchmark!$C$2:$C$82,"")</f>
        <v>8.8999999999999996E-2</v>
      </c>
      <c r="J199" s="36">
        <f>H199-I199</f>
        <v>0</v>
      </c>
      <c r="K199" s="37">
        <f>IF(J199&gt;0,1,0)</f>
        <v>0</v>
      </c>
      <c r="L199" s="35">
        <v>3.8559999999999999</v>
      </c>
      <c r="M199" s="35">
        <f>_xlfn.XLOOKUP(C199,Industry_Benchmark!$A$2:$A$82,Industry_Benchmark!$D$2:$D$82,"")</f>
        <v>3.8559999999999999</v>
      </c>
      <c r="N199" s="35">
        <f>L199-M199</f>
        <v>0</v>
      </c>
      <c r="O199" s="35">
        <f>IF(N199&gt;0,1,0)</f>
        <v>0</v>
      </c>
      <c r="P199" s="36">
        <v>0.12773000000000001</v>
      </c>
      <c r="Q199" s="36">
        <f>_xlfn.XLOOKUP(C199,Industry_Benchmark!$A$2:$A$82,Industry_Benchmark!$E$2:$E$82,"")</f>
        <v>0.12773000000000001</v>
      </c>
      <c r="R199" s="36">
        <f>P199-Q199</f>
        <v>0</v>
      </c>
      <c r="S199" s="37">
        <f>IF(R199&gt;0,1,0)</f>
        <v>0</v>
      </c>
      <c r="T199" s="35">
        <v>149.47200000000001</v>
      </c>
      <c r="U199" s="35">
        <f>_xlfn.XLOOKUP(C199,Industry_Benchmark!$A$2:$A$82,Industry_Benchmark!$F$2:$F$82,"")</f>
        <v>149.47200000000001</v>
      </c>
      <c r="V199" s="35">
        <f>T199-U199</f>
        <v>0</v>
      </c>
      <c r="W199" s="35">
        <f>IF(V199&gt;0,1,0)</f>
        <v>0</v>
      </c>
      <c r="X199" s="36">
        <v>0.48911998000000001</v>
      </c>
      <c r="Y199" s="36">
        <f>_xlfn.XLOOKUP(C199,Industry_Benchmark!$A$2:$A$82,Industry_Benchmark!$G$2:$G$82,"")</f>
        <v>0.48911998000000001</v>
      </c>
      <c r="Z199" s="59">
        <f>X199-Y199</f>
        <v>0</v>
      </c>
      <c r="AA199" s="35">
        <f>IF(Z199&gt;0,1,0)</f>
        <v>0</v>
      </c>
      <c r="AB199" s="60">
        <f>SUM(G199,K199,O199,S199,W199,AA199)</f>
        <v>0</v>
      </c>
      <c r="AC199" s="61">
        <f>AB199/6</f>
        <v>0</v>
      </c>
      <c r="AD199" s="62" t="str" cm="1">
        <f t="array" ref="AD199">_xlfn.IFS(
AB199=6,"Excellent",
AB199=5,"Strong",
AB199=4,"Good",
AB199=3,"Average",
AB199&lt;=2,"Weak"
)</f>
        <v>Weak</v>
      </c>
    </row>
    <row r="200" spans="1:30" x14ac:dyDescent="0.3">
      <c r="A200" s="12" t="s">
        <v>270</v>
      </c>
      <c r="B200" s="10" t="s">
        <v>271</v>
      </c>
      <c r="C200" s="10" t="s">
        <v>269</v>
      </c>
      <c r="D200" s="36">
        <v>0.11328000000000001</v>
      </c>
      <c r="E200" s="36">
        <f>_xlfn.XLOOKUP(C200,Industry_Benchmark!$A$2:$A$82,Industry_Benchmark!$B$2:$B$82,"")</f>
        <v>0.11328000000000001</v>
      </c>
      <c r="F200" s="36">
        <f>D200-E200</f>
        <v>0</v>
      </c>
      <c r="G200" s="37">
        <f>IF(F200&gt;0,1,0)</f>
        <v>0</v>
      </c>
      <c r="H200" s="36">
        <v>0.14799999999999999</v>
      </c>
      <c r="I200" s="36">
        <f>_xlfn.XLOOKUP(C200,Industry_Benchmark!$A$2:$A$82,Industry_Benchmark!$C$2:$C$82,"")</f>
        <v>0.14799999999999999</v>
      </c>
      <c r="J200" s="36">
        <f>H200-I200</f>
        <v>0</v>
      </c>
      <c r="K200" s="37">
        <f>IF(J200&gt;0,1,0)</f>
        <v>0</v>
      </c>
      <c r="L200" s="35">
        <v>1.377</v>
      </c>
      <c r="M200" s="35">
        <f>_xlfn.XLOOKUP(C200,Industry_Benchmark!$A$2:$A$82,Industry_Benchmark!$D$2:$D$82,"")</f>
        <v>1.377</v>
      </c>
      <c r="N200" s="35">
        <f>L200-M200</f>
        <v>0</v>
      </c>
      <c r="O200" s="35">
        <f>IF(N200&gt;0,1,0)</f>
        <v>0</v>
      </c>
      <c r="P200" s="36">
        <v>0.12033000000000001</v>
      </c>
      <c r="Q200" s="36">
        <f>_xlfn.XLOOKUP(C200,Industry_Benchmark!$A$2:$A$82,Industry_Benchmark!$E$2:$E$82,"")</f>
        <v>0.12033000000000001</v>
      </c>
      <c r="R200" s="36">
        <f>P200-Q200</f>
        <v>0</v>
      </c>
      <c r="S200" s="37">
        <f>IF(R200&gt;0,1,0)</f>
        <v>0</v>
      </c>
      <c r="T200" s="35">
        <v>1866.3009999999999</v>
      </c>
      <c r="U200" s="35">
        <f>_xlfn.XLOOKUP(C200,Industry_Benchmark!$A$2:$A$82,Industry_Benchmark!$F$2:$F$82,"")</f>
        <v>1866.3009999999999</v>
      </c>
      <c r="V200" s="35">
        <f>T200-U200</f>
        <v>0</v>
      </c>
      <c r="W200" s="35">
        <f>IF(V200&gt;0,1,0)</f>
        <v>0</v>
      </c>
      <c r="X200" s="36">
        <v>4.7439200000000001</v>
      </c>
      <c r="Y200" s="36">
        <f>_xlfn.XLOOKUP(C200,Industry_Benchmark!$A$2:$A$82,Industry_Benchmark!$G$2:$G$82,"")</f>
        <v>4.7439200000000001</v>
      </c>
      <c r="Z200" s="59">
        <f>X200-Y200</f>
        <v>0</v>
      </c>
      <c r="AA200" s="35">
        <f>IF(Z200&gt;0,1,0)</f>
        <v>0</v>
      </c>
      <c r="AB200" s="60">
        <f>SUM(G200,K200,O200,S200,W200,AA200)</f>
        <v>0</v>
      </c>
      <c r="AC200" s="61">
        <f>AB200/6</f>
        <v>0</v>
      </c>
      <c r="AD200" s="62" t="str" cm="1">
        <f t="array" ref="AD200">_xlfn.IFS(
AB200=6,"Excellent",
AB200=5,"Strong",
AB200=4,"Good",
AB200=3,"Average",
AB200&lt;=2,"Weak"
)</f>
        <v>Weak</v>
      </c>
    </row>
    <row r="201" spans="1:30" x14ac:dyDescent="0.3">
      <c r="A201" s="12" t="s">
        <v>283</v>
      </c>
      <c r="B201" s="10" t="s">
        <v>284</v>
      </c>
      <c r="C201" s="10" t="s">
        <v>282</v>
      </c>
      <c r="D201" s="36">
        <v>0.18848999999999999</v>
      </c>
      <c r="E201" s="36">
        <f>_xlfn.XLOOKUP(C201,Industry_Benchmark!$A$2:$A$82,Industry_Benchmark!$B$2:$B$82,"")</f>
        <v>0.18848999999999999</v>
      </c>
      <c r="F201" s="36">
        <f>D201-E201</f>
        <v>0</v>
      </c>
      <c r="G201" s="37">
        <f>IF(F201&gt;0,1,0)</f>
        <v>0</v>
      </c>
      <c r="H201" s="36">
        <v>0.371</v>
      </c>
      <c r="I201" s="36">
        <f>_xlfn.XLOOKUP(C201,Industry_Benchmark!$A$2:$A$82,Industry_Benchmark!$C$2:$C$82,"")</f>
        <v>0.371</v>
      </c>
      <c r="J201" s="36">
        <f>H201-I201</f>
        <v>0</v>
      </c>
      <c r="K201" s="37">
        <f>IF(J201&gt;0,1,0)</f>
        <v>0</v>
      </c>
      <c r="L201" s="35">
        <v>2.5169999999999999</v>
      </c>
      <c r="M201" s="35">
        <f>_xlfn.XLOOKUP(C201,Industry_Benchmark!$A$2:$A$82,Industry_Benchmark!$D$2:$D$82,"")</f>
        <v>2.5169999999999999</v>
      </c>
      <c r="N201" s="35">
        <f>L201-M201</f>
        <v>0</v>
      </c>
      <c r="O201" s="35">
        <f>IF(N201&gt;0,1,0)</f>
        <v>0</v>
      </c>
      <c r="P201" s="36">
        <v>0.11497</v>
      </c>
      <c r="Q201" s="36">
        <f>_xlfn.XLOOKUP(C201,Industry_Benchmark!$A$2:$A$82,Industry_Benchmark!$E$2:$E$82,"")</f>
        <v>0.11497</v>
      </c>
      <c r="R201" s="36">
        <f>P201-Q201</f>
        <v>0</v>
      </c>
      <c r="S201" s="37">
        <f>IF(R201&gt;0,1,0)</f>
        <v>0</v>
      </c>
      <c r="T201" s="35">
        <v>42.439</v>
      </c>
      <c r="U201" s="35">
        <f>_xlfn.XLOOKUP(C201,Industry_Benchmark!$A$2:$A$82,Industry_Benchmark!$F$2:$F$82,"")</f>
        <v>42.439</v>
      </c>
      <c r="V201" s="35">
        <f>T201-U201</f>
        <v>0</v>
      </c>
      <c r="W201" s="35">
        <f>IF(V201&gt;0,1,0)</f>
        <v>0</v>
      </c>
      <c r="X201" s="36">
        <v>0.25739000000000001</v>
      </c>
      <c r="Y201" s="36">
        <f>_xlfn.XLOOKUP(C201,Industry_Benchmark!$A$2:$A$82,Industry_Benchmark!$G$2:$G$82,"")</f>
        <v>0.25739000000000001</v>
      </c>
      <c r="Z201" s="59">
        <f>X201-Y201</f>
        <v>0</v>
      </c>
      <c r="AA201" s="35">
        <f>IF(Z201&gt;0,1,0)</f>
        <v>0</v>
      </c>
      <c r="AB201" s="60">
        <f>SUM(G201,K201,O201,S201,W201,AA201)</f>
        <v>0</v>
      </c>
      <c r="AC201" s="61">
        <f>AB201/6</f>
        <v>0</v>
      </c>
      <c r="AD201" s="62" t="str" cm="1">
        <f t="array" ref="AD201">_xlfn.IFS(
AB201=6,"Excellent",
AB201=5,"Strong",
AB201=4,"Good",
AB201=3,"Average",
AB201&lt;=2,"Weak"
)</f>
        <v>Weak</v>
      </c>
    </row>
    <row r="202" spans="1:30" x14ac:dyDescent="0.3">
      <c r="A202" s="12" t="s">
        <v>295</v>
      </c>
      <c r="B202" s="10" t="s">
        <v>296</v>
      </c>
      <c r="C202" s="10" t="s">
        <v>294</v>
      </c>
      <c r="D202" s="36">
        <v>5.8459999999999998E-2</v>
      </c>
      <c r="E202" s="36">
        <f>_xlfn.XLOOKUP(C202,Industry_Benchmark!$A$2:$A$82,Industry_Benchmark!$B$2:$B$82,"")</f>
        <v>5.8459999999999998E-2</v>
      </c>
      <c r="F202" s="36">
        <f>D202-E202</f>
        <v>0</v>
      </c>
      <c r="G202" s="37">
        <f>IF(F202&gt;0,1,0)</f>
        <v>0</v>
      </c>
      <c r="H202" s="36">
        <v>0.23899999999999999</v>
      </c>
      <c r="I202" s="36">
        <f>_xlfn.XLOOKUP(C202,Industry_Benchmark!$A$2:$A$82,Industry_Benchmark!$C$2:$C$82,"")</f>
        <v>0.23899999999999999</v>
      </c>
      <c r="J202" s="36">
        <f>H202-I202</f>
        <v>0</v>
      </c>
      <c r="K202" s="37">
        <f>IF(J202&gt;0,1,0)</f>
        <v>0</v>
      </c>
      <c r="L202" s="35">
        <v>1.2869999999999999</v>
      </c>
      <c r="M202" s="35">
        <f>_xlfn.XLOOKUP(C202,Industry_Benchmark!$A$2:$A$82,Industry_Benchmark!$D$2:$D$82,"")</f>
        <v>1.2869999999999999</v>
      </c>
      <c r="N202" s="35">
        <f>L202-M202</f>
        <v>0</v>
      </c>
      <c r="O202" s="35">
        <f>IF(N202&gt;0,1,0)</f>
        <v>0</v>
      </c>
      <c r="P202" s="36">
        <v>7.8009999999999996E-2</v>
      </c>
      <c r="Q202" s="36">
        <f>_xlfn.XLOOKUP(C202,Industry_Benchmark!$A$2:$A$82,Industry_Benchmark!$E$2:$E$82,"")</f>
        <v>7.8009999999999996E-2</v>
      </c>
      <c r="R202" s="36">
        <f>P202-Q202</f>
        <v>0</v>
      </c>
      <c r="S202" s="37">
        <f>IF(R202&gt;0,1,0)</f>
        <v>0</v>
      </c>
      <c r="T202" s="35">
        <v>198.94200000000001</v>
      </c>
      <c r="U202" s="35">
        <f>_xlfn.XLOOKUP(C202,Industry_Benchmark!$A$2:$A$82,Industry_Benchmark!$F$2:$F$82,"")</f>
        <v>198.94200000000001</v>
      </c>
      <c r="V202" s="35">
        <f>T202-U202</f>
        <v>0</v>
      </c>
      <c r="W202" s="35">
        <f>IF(V202&gt;0,1,0)</f>
        <v>0</v>
      </c>
      <c r="X202" s="36">
        <v>0.44425999999999999</v>
      </c>
      <c r="Y202" s="36">
        <f>_xlfn.XLOOKUP(C202,Industry_Benchmark!$A$2:$A$82,Industry_Benchmark!$G$2:$G$82,"")</f>
        <v>0.44425999999999999</v>
      </c>
      <c r="Z202" s="59">
        <f>X202-Y202</f>
        <v>0</v>
      </c>
      <c r="AA202" s="35">
        <f>IF(Z202&gt;0,1,0)</f>
        <v>0</v>
      </c>
      <c r="AB202" s="60">
        <f>SUM(G202,K202,O202,S202,W202,AA202)</f>
        <v>0</v>
      </c>
      <c r="AC202" s="61">
        <f>AB202/6</f>
        <v>0</v>
      </c>
      <c r="AD202" s="62" t="str" cm="1">
        <f t="array" ref="AD202">_xlfn.IFS(
AB202=6,"Excellent",
AB202=5,"Strong",
AB202=4,"Good",
AB202=3,"Average",
AB202&lt;=2,"Weak"
)</f>
        <v>Weak</v>
      </c>
    </row>
    <row r="203" spans="1:30" x14ac:dyDescent="0.3">
      <c r="A203" s="12" t="s">
        <v>297</v>
      </c>
      <c r="B203" s="10" t="s">
        <v>298</v>
      </c>
      <c r="C203" s="10" t="s">
        <v>146</v>
      </c>
      <c r="D203" s="36">
        <v>0.26843</v>
      </c>
      <c r="E203" s="36">
        <f>_xlfn.XLOOKUP(C203,Industry_Benchmark!$A$2:$A$82,Industry_Benchmark!$B$2:$B$82,"")</f>
        <v>0.29006333333333334</v>
      </c>
      <c r="F203" s="36">
        <f>D203-E203</f>
        <v>-2.1633333333333338E-2</v>
      </c>
      <c r="G203" s="37">
        <f>IF(F203&gt;0,1,0)</f>
        <v>0</v>
      </c>
      <c r="H203" s="36">
        <v>0.13800000000000001</v>
      </c>
      <c r="I203" s="36">
        <f>_xlfn.XLOOKUP(C203,Industry_Benchmark!$A$2:$A$82,Industry_Benchmark!$C$2:$C$82,"")</f>
        <v>0.16533333333333333</v>
      </c>
      <c r="J203" s="36">
        <f>H203-I203</f>
        <v>-2.7333333333333321E-2</v>
      </c>
      <c r="K203" s="37">
        <f>IF(J203&gt;0,1,0)</f>
        <v>0</v>
      </c>
      <c r="L203" s="35">
        <v>1.129</v>
      </c>
      <c r="M203" s="35">
        <f>_xlfn.XLOOKUP(C203,Industry_Benchmark!$A$2:$A$82,Industry_Benchmark!$D$2:$D$82,"")</f>
        <v>1.155</v>
      </c>
      <c r="N203" s="35">
        <f>L203-M203</f>
        <v>-2.6000000000000023E-2</v>
      </c>
      <c r="O203" s="35">
        <f>IF(N203&gt;0,1,0)</f>
        <v>0</v>
      </c>
      <c r="P203" s="36">
        <v>7.1650000000000005E-2</v>
      </c>
      <c r="Q203" s="36">
        <f>_xlfn.XLOOKUP(C203,Industry_Benchmark!$A$2:$A$82,Industry_Benchmark!$E$2:$E$82,"")</f>
        <v>8.1653329666666663E-2</v>
      </c>
      <c r="R203" s="36">
        <f>P203-Q203</f>
        <v>-1.0003329666666658E-2</v>
      </c>
      <c r="S203" s="37">
        <f>IF(R203&gt;0,1,0)</f>
        <v>0</v>
      </c>
      <c r="T203" s="35">
        <v>103.449</v>
      </c>
      <c r="U203" s="35">
        <f>_xlfn.XLOOKUP(C203,Industry_Benchmark!$A$2:$A$82,Industry_Benchmark!$F$2:$F$82,"")</f>
        <v>151.30633333333336</v>
      </c>
      <c r="V203" s="35">
        <f>T203-U203</f>
        <v>-47.857333333333358</v>
      </c>
      <c r="W203" s="35">
        <f>IF(V203&gt;0,1,0)</f>
        <v>0</v>
      </c>
      <c r="X203" s="36">
        <v>0.20230000000000001</v>
      </c>
      <c r="Y203" s="36">
        <f>_xlfn.XLOOKUP(C203,Industry_Benchmark!$A$2:$A$82,Industry_Benchmark!$G$2:$G$82,"")</f>
        <v>0.30002334000000003</v>
      </c>
      <c r="Z203" s="59">
        <f>X203-Y203</f>
        <v>-9.772334000000002E-2</v>
      </c>
      <c r="AA203" s="35">
        <f>IF(Z203&gt;0,1,0)</f>
        <v>0</v>
      </c>
      <c r="AB203" s="60">
        <f>SUM(G203,K203,O203,S203,W203,AA203)</f>
        <v>0</v>
      </c>
      <c r="AC203" s="61">
        <f>AB203/6</f>
        <v>0</v>
      </c>
      <c r="AD203" s="62" t="str" cm="1">
        <f t="array" ref="AD203">_xlfn.IFS(
AB203=6,"Excellent",
AB203=5,"Strong",
AB203=4,"Good",
AB203=3,"Average",
AB203&lt;=2,"Weak"
)</f>
        <v>Weak</v>
      </c>
    </row>
    <row r="204" spans="1:30" x14ac:dyDescent="0.3">
      <c r="A204" s="12" t="s">
        <v>336</v>
      </c>
      <c r="B204" s="10" t="s">
        <v>337</v>
      </c>
      <c r="C204" s="10" t="s">
        <v>335</v>
      </c>
      <c r="D204" s="36">
        <v>0.16670999</v>
      </c>
      <c r="E204" s="36">
        <f>_xlfn.XLOOKUP(C204,Industry_Benchmark!$A$2:$A$82,Industry_Benchmark!$B$2:$B$82,"")</f>
        <v>0.16670999</v>
      </c>
      <c r="F204" s="36">
        <f>D204-E204</f>
        <v>0</v>
      </c>
      <c r="G204" s="37">
        <f>IF(F204&gt;0,1,0)</f>
        <v>0</v>
      </c>
      <c r="H204" s="36">
        <v>-8.6999999999999994E-2</v>
      </c>
      <c r="I204" s="36">
        <f>_xlfn.XLOOKUP(C204,Industry_Benchmark!$A$2:$A$82,Industry_Benchmark!$C$2:$C$82,"")</f>
        <v>-8.6999999999999994E-2</v>
      </c>
      <c r="J204" s="36">
        <f>H204-I204</f>
        <v>0</v>
      </c>
      <c r="K204" s="37">
        <f>IF(J204&gt;0,1,0)</f>
        <v>0</v>
      </c>
      <c r="L204" s="35">
        <v>2.67</v>
      </c>
      <c r="M204" s="35">
        <f>_xlfn.XLOOKUP(C204,Industry_Benchmark!$A$2:$A$82,Industry_Benchmark!$D$2:$D$82,"")</f>
        <v>2.67</v>
      </c>
      <c r="N204" s="35">
        <f>L204-M204</f>
        <v>0</v>
      </c>
      <c r="O204" s="35">
        <f>IF(N204&gt;0,1,0)</f>
        <v>0</v>
      </c>
      <c r="P204" s="36">
        <v>5.7789996000000003E-2</v>
      </c>
      <c r="Q204" s="36">
        <f>_xlfn.XLOOKUP(C204,Industry_Benchmark!$A$2:$A$82,Industry_Benchmark!$E$2:$E$82,"")</f>
        <v>5.7789996000000003E-2</v>
      </c>
      <c r="R204" s="36">
        <f>P204-Q204</f>
        <v>0</v>
      </c>
      <c r="S204" s="37">
        <f>IF(R204&gt;0,1,0)</f>
        <v>0</v>
      </c>
      <c r="T204" s="35">
        <v>26.806000000000001</v>
      </c>
      <c r="U204" s="35">
        <f>_xlfn.XLOOKUP(C204,Industry_Benchmark!$A$2:$A$82,Industry_Benchmark!$F$2:$F$82,"")</f>
        <v>26.806000000000001</v>
      </c>
      <c r="V204" s="35">
        <f>T204-U204</f>
        <v>0</v>
      </c>
      <c r="W204" s="35">
        <f>IF(V204&gt;0,1,0)</f>
        <v>0</v>
      </c>
      <c r="X204" s="36">
        <v>7.2529999999999997E-2</v>
      </c>
      <c r="Y204" s="36">
        <f>_xlfn.XLOOKUP(C204,Industry_Benchmark!$A$2:$A$82,Industry_Benchmark!$G$2:$G$82,"")</f>
        <v>7.2529999999999997E-2</v>
      </c>
      <c r="Z204" s="59">
        <f>X204-Y204</f>
        <v>0</v>
      </c>
      <c r="AA204" s="35">
        <f>IF(Z204&gt;0,1,0)</f>
        <v>0</v>
      </c>
      <c r="AB204" s="60">
        <f>SUM(G204,K204,O204,S204,W204,AA204)</f>
        <v>0</v>
      </c>
      <c r="AC204" s="61">
        <f>AB204/6</f>
        <v>0</v>
      </c>
      <c r="AD204" s="62" t="str" cm="1">
        <f t="array" ref="AD204">_xlfn.IFS(
AB204=6,"Excellent",
AB204=5,"Strong",
AB204=4,"Good",
AB204=3,"Average",
AB204&lt;=2,"Weak"
)</f>
        <v>Weak</v>
      </c>
    </row>
    <row r="205" spans="1:30" x14ac:dyDescent="0.3">
      <c r="A205" s="12" t="s">
        <v>340</v>
      </c>
      <c r="B205" s="10" t="s">
        <v>341</v>
      </c>
      <c r="C205" s="10" t="s">
        <v>223</v>
      </c>
      <c r="D205" s="36">
        <v>0.10923000400000001</v>
      </c>
      <c r="E205" s="36">
        <f>_xlfn.XLOOKUP(C205,Industry_Benchmark!$A$2:$A$82,Industry_Benchmark!$B$2:$B$82,"")</f>
        <v>0.12041000057142859</v>
      </c>
      <c r="F205" s="36">
        <f>D205-E205</f>
        <v>-1.1179996571428583E-2</v>
      </c>
      <c r="G205" s="37">
        <f>IF(F205&gt;0,1,0)</f>
        <v>0</v>
      </c>
      <c r="H205" s="36">
        <v>2.4E-2</v>
      </c>
      <c r="I205" s="36">
        <f>_xlfn.XLOOKUP(C205,Industry_Benchmark!$A$2:$A$82,Industry_Benchmark!$C$2:$C$82,"")</f>
        <v>7.0857142857142855E-2</v>
      </c>
      <c r="J205" s="36">
        <f>H205-I205</f>
        <v>-4.6857142857142854E-2</v>
      </c>
      <c r="K205" s="37">
        <f>IF(J205&gt;0,1,0)</f>
        <v>0</v>
      </c>
      <c r="L205" s="35">
        <v>1.0409999999999999</v>
      </c>
      <c r="M205" s="35">
        <f>_xlfn.XLOOKUP(C205,Industry_Benchmark!$A$2:$A$82,Industry_Benchmark!$D$2:$D$82,"")</f>
        <v>1.4689999999999999</v>
      </c>
      <c r="N205" s="35">
        <f>L205-M205</f>
        <v>-0.42799999999999994</v>
      </c>
      <c r="O205" s="35">
        <f>IF(N205&gt;0,1,0)</f>
        <v>0</v>
      </c>
      <c r="P205" s="36">
        <v>4.675E-2</v>
      </c>
      <c r="Q205" s="36">
        <f>_xlfn.XLOOKUP(C205,Industry_Benchmark!$A$2:$A$82,Industry_Benchmark!$E$2:$E$82,"")</f>
        <v>6.6908572285714271E-2</v>
      </c>
      <c r="R205" s="36">
        <f>P205-Q205</f>
        <v>-2.0158572285714271E-2</v>
      </c>
      <c r="S205" s="37">
        <f>IF(R205&gt;0,1,0)</f>
        <v>0</v>
      </c>
      <c r="T205" s="35">
        <v>54.197000000000003</v>
      </c>
      <c r="U205" s="35">
        <f>_xlfn.XLOOKUP(C205,Industry_Benchmark!$A$2:$A$82,Industry_Benchmark!$F$2:$F$82,"")</f>
        <v>107.70214285714285</v>
      </c>
      <c r="V205" s="35">
        <f>T205-U205</f>
        <v>-53.505142857142843</v>
      </c>
      <c r="W205" s="35">
        <f>IF(V205&gt;0,1,0)</f>
        <v>0</v>
      </c>
      <c r="X205" s="36">
        <v>0.13658000000000001</v>
      </c>
      <c r="Y205" s="36">
        <f>_xlfn.XLOOKUP(C205,Industry_Benchmark!$A$2:$A$82,Industry_Benchmark!$G$2:$G$82,"")</f>
        <v>0.26455856971428571</v>
      </c>
      <c r="Z205" s="59">
        <f>X205-Y205</f>
        <v>-0.1279785697142857</v>
      </c>
      <c r="AA205" s="35">
        <f>IF(Z205&gt;0,1,0)</f>
        <v>0</v>
      </c>
      <c r="AB205" s="60">
        <f>SUM(G205,K205,O205,S205,W205,AA205)</f>
        <v>0</v>
      </c>
      <c r="AC205" s="61">
        <f>AB205/6</f>
        <v>0</v>
      </c>
      <c r="AD205" s="62" t="str" cm="1">
        <f t="array" ref="AD205">_xlfn.IFS(
AB205=6,"Excellent",
AB205=5,"Strong",
AB205=4,"Good",
AB205=3,"Average",
AB205&lt;=2,"Weak"
)</f>
        <v>Weak</v>
      </c>
    </row>
    <row r="206" spans="1:30" x14ac:dyDescent="0.3">
      <c r="A206" s="12" t="s">
        <v>351</v>
      </c>
      <c r="B206" s="10" t="s">
        <v>352</v>
      </c>
      <c r="C206" s="10" t="s">
        <v>113</v>
      </c>
      <c r="D206" s="36">
        <v>3.0050001999999999E-2</v>
      </c>
      <c r="E206" s="36">
        <f>_xlfn.XLOOKUP(C206,Industry_Benchmark!$A$2:$A$82,Industry_Benchmark!$B$2:$B$82,"")</f>
        <v>8.1440000400000018E-2</v>
      </c>
      <c r="F206" s="36">
        <f>D206-E206</f>
        <v>-5.1389998400000018E-2</v>
      </c>
      <c r="G206" s="37">
        <f>IF(F206&gt;0,1,0)</f>
        <v>0</v>
      </c>
      <c r="H206" s="36">
        <v>0.107</v>
      </c>
      <c r="I206" s="36">
        <f>_xlfn.XLOOKUP(C206,Industry_Benchmark!$A$2:$A$82,Industry_Benchmark!$C$2:$C$82,"")</f>
        <v>0.12479999999999999</v>
      </c>
      <c r="J206" s="36">
        <f>H206-I206</f>
        <v>-1.7799999999999996E-2</v>
      </c>
      <c r="K206" s="37">
        <f>IF(J206&gt;0,1,0)</f>
        <v>0</v>
      </c>
      <c r="L206" s="35">
        <v>0.74</v>
      </c>
      <c r="M206" s="35">
        <f>_xlfn.XLOOKUP(C206,Industry_Benchmark!$A$2:$A$82,Industry_Benchmark!$D$2:$D$82,"")</f>
        <v>1.1856</v>
      </c>
      <c r="N206" s="35">
        <f>L206-M206</f>
        <v>-0.4456</v>
      </c>
      <c r="O206" s="35">
        <f>IF(N206&gt;0,1,0)</f>
        <v>0</v>
      </c>
      <c r="P206" s="36">
        <v>9.7400000000000004E-3</v>
      </c>
      <c r="Q206" s="36">
        <f>_xlfn.XLOOKUP(C206,Industry_Benchmark!$A$2:$A$82,Industry_Benchmark!$E$2:$E$82,"")</f>
        <v>5.8694001199999998E-2</v>
      </c>
      <c r="R206" s="36">
        <f>P206-Q206</f>
        <v>-4.89540012E-2</v>
      </c>
      <c r="S206" s="37">
        <f>IF(R206&gt;0,1,0)</f>
        <v>0</v>
      </c>
      <c r="T206" s="35">
        <v>43.921999999999997</v>
      </c>
      <c r="U206" s="35">
        <f>_xlfn.XLOOKUP(C206,Industry_Benchmark!$A$2:$A$82,Industry_Benchmark!$F$2:$F$82,"")</f>
        <v>80.509399999999999</v>
      </c>
      <c r="V206" s="35">
        <f>T206-U206</f>
        <v>-36.587400000000002</v>
      </c>
      <c r="W206" s="35">
        <f>IF(V206&gt;0,1,0)</f>
        <v>0</v>
      </c>
      <c r="X206" s="36">
        <v>8.7399999999999995E-3</v>
      </c>
      <c r="Y206" s="36">
        <f>_xlfn.XLOOKUP(C206,Industry_Benchmark!$A$2:$A$82,Industry_Benchmark!$G$2:$G$82,"")</f>
        <v>0.15423999999999999</v>
      </c>
      <c r="Z206" s="59">
        <f>X206-Y206</f>
        <v>-0.14549999999999999</v>
      </c>
      <c r="AA206" s="35">
        <f>IF(Z206&gt;0,1,0)</f>
        <v>0</v>
      </c>
      <c r="AB206" s="60">
        <f>SUM(G206,K206,O206,S206,W206,AA206)</f>
        <v>0</v>
      </c>
      <c r="AC206" s="61">
        <f>AB206/6</f>
        <v>0</v>
      </c>
      <c r="AD206" s="62" t="str" cm="1">
        <f t="array" ref="AD206">_xlfn.IFS(
AB206=6,"Excellent",
AB206=5,"Strong",
AB206=4,"Good",
AB206=3,"Average",
AB206&lt;=2,"Weak"
)</f>
        <v>Weak</v>
      </c>
    </row>
    <row r="207" spans="1:30" x14ac:dyDescent="0.3">
      <c r="A207" s="12" t="s">
        <v>376</v>
      </c>
      <c r="B207" s="10" t="s">
        <v>377</v>
      </c>
      <c r="C207" s="10" t="s">
        <v>375</v>
      </c>
      <c r="D207" s="36">
        <v>0.11803999499999999</v>
      </c>
      <c r="E207" s="36">
        <f>_xlfn.XLOOKUP(C207,Industry_Benchmark!$A$2:$A$82,Industry_Benchmark!$B$2:$B$82,"")</f>
        <v>0.11803999499999999</v>
      </c>
      <c r="F207" s="36">
        <f>D207-E207</f>
        <v>0</v>
      </c>
      <c r="G207" s="37">
        <f>IF(F207&gt;0,1,0)</f>
        <v>0</v>
      </c>
      <c r="H207" s="36">
        <v>0.30199999999999999</v>
      </c>
      <c r="I207" s="36">
        <f>_xlfn.XLOOKUP(C207,Industry_Benchmark!$A$2:$A$82,Industry_Benchmark!$C$2:$C$82,"")</f>
        <v>0.30199999999999999</v>
      </c>
      <c r="J207" s="36">
        <f>H207-I207</f>
        <v>0</v>
      </c>
      <c r="K207" s="37">
        <f>IF(J207&gt;0,1,0)</f>
        <v>0</v>
      </c>
      <c r="L207" s="35">
        <v>0.74299999999999999</v>
      </c>
      <c r="M207" s="35">
        <f>_xlfn.XLOOKUP(C207,Industry_Benchmark!$A$2:$A$82,Industry_Benchmark!$D$2:$D$82,"")</f>
        <v>0.74299999999999999</v>
      </c>
      <c r="N207" s="35">
        <f>L207-M207</f>
        <v>0</v>
      </c>
      <c r="O207" s="35">
        <f>IF(N207&gt;0,1,0)</f>
        <v>0</v>
      </c>
      <c r="P207" s="36">
        <v>8.4100000000000008E-3</v>
      </c>
      <c r="Q207" s="36">
        <f>_xlfn.XLOOKUP(C207,Industry_Benchmark!$A$2:$A$82,Industry_Benchmark!$E$2:$E$82,"")</f>
        <v>8.4100000000000008E-3</v>
      </c>
      <c r="R207" s="36">
        <f>P207-Q207</f>
        <v>0</v>
      </c>
      <c r="S207" s="37">
        <f>IF(R207&gt;0,1,0)</f>
        <v>0</v>
      </c>
      <c r="T207" s="35">
        <v>48.051000000000002</v>
      </c>
      <c r="U207" s="35">
        <f>_xlfn.XLOOKUP(C207,Industry_Benchmark!$A$2:$A$82,Industry_Benchmark!$F$2:$F$82,"")</f>
        <v>48.051000000000002</v>
      </c>
      <c r="V207" s="35">
        <f>T207-U207</f>
        <v>0</v>
      </c>
      <c r="W207" s="35">
        <f>IF(V207&gt;0,1,0)</f>
        <v>0</v>
      </c>
      <c r="X207" s="36">
        <v>8.906E-2</v>
      </c>
      <c r="Y207" s="36">
        <f>_xlfn.XLOOKUP(C207,Industry_Benchmark!$A$2:$A$82,Industry_Benchmark!$G$2:$G$82,"")</f>
        <v>8.906E-2</v>
      </c>
      <c r="Z207" s="59">
        <f>X207-Y207</f>
        <v>0</v>
      </c>
      <c r="AA207" s="35">
        <f>IF(Z207&gt;0,1,0)</f>
        <v>0</v>
      </c>
      <c r="AB207" s="60">
        <f>SUM(G207,K207,O207,S207,W207,AA207)</f>
        <v>0</v>
      </c>
      <c r="AC207" s="61">
        <f>AB207/6</f>
        <v>0</v>
      </c>
      <c r="AD207" s="62" t="str" cm="1">
        <f t="array" ref="AD207">_xlfn.IFS(
AB207=6,"Excellent",
AB207=5,"Strong",
AB207=4,"Good",
AB207=3,"Average",
AB207&lt;=2,"Weak"
)</f>
        <v>Weak</v>
      </c>
    </row>
    <row r="208" spans="1:30" x14ac:dyDescent="0.3">
      <c r="A208" s="12" t="s">
        <v>379</v>
      </c>
      <c r="B208" s="10" t="s">
        <v>380</v>
      </c>
      <c r="C208" s="10" t="s">
        <v>378</v>
      </c>
      <c r="D208" s="36">
        <v>3.2620000000000003E-2</v>
      </c>
      <c r="E208" s="36">
        <f>_xlfn.XLOOKUP(C208,Industry_Benchmark!$A$2:$A$82,Industry_Benchmark!$B$2:$B$82,"")</f>
        <v>3.2620000000000003E-2</v>
      </c>
      <c r="F208" s="36">
        <f>D208-E208</f>
        <v>0</v>
      </c>
      <c r="G208" s="37">
        <f>IF(F208&gt;0,1,0)</f>
        <v>0</v>
      </c>
      <c r="H208" s="36">
        <v>0.34499999999999997</v>
      </c>
      <c r="I208" s="36">
        <f>_xlfn.XLOOKUP(C208,Industry_Benchmark!$A$2:$A$82,Industry_Benchmark!$C$2:$C$82,"")</f>
        <v>0.34499999999999997</v>
      </c>
      <c r="J208" s="36">
        <f>H208-I208</f>
        <v>0</v>
      </c>
      <c r="K208" s="37">
        <f>IF(J208&gt;0,1,0)</f>
        <v>0</v>
      </c>
      <c r="L208" s="35">
        <v>1.577</v>
      </c>
      <c r="M208" s="35">
        <f>_xlfn.XLOOKUP(C208,Industry_Benchmark!$A$2:$A$82,Industry_Benchmark!$D$2:$D$82,"")</f>
        <v>1.577</v>
      </c>
      <c r="N208" s="35">
        <f>L208-M208</f>
        <v>0</v>
      </c>
      <c r="O208" s="35">
        <f>IF(N208&gt;0,1,0)</f>
        <v>0</v>
      </c>
      <c r="P208" s="36">
        <v>3.5479999999999998E-2</v>
      </c>
      <c r="Q208" s="36">
        <f>_xlfn.XLOOKUP(C208,Industry_Benchmark!$A$2:$A$82,Industry_Benchmark!$E$2:$E$82,"")</f>
        <v>3.5479999999999998E-2</v>
      </c>
      <c r="R208" s="36">
        <f>P208-Q208</f>
        <v>0</v>
      </c>
      <c r="S208" s="37">
        <f>IF(R208&gt;0,1,0)</f>
        <v>0</v>
      </c>
      <c r="T208" s="35">
        <v>44.843000000000004</v>
      </c>
      <c r="U208" s="35">
        <f>_xlfn.XLOOKUP(C208,Industry_Benchmark!$A$2:$A$82,Industry_Benchmark!$F$2:$F$82,"")</f>
        <v>44.843000000000004</v>
      </c>
      <c r="V208" s="35">
        <f>T208-U208</f>
        <v>0</v>
      </c>
      <c r="W208" s="35">
        <f>IF(V208&gt;0,1,0)</f>
        <v>0</v>
      </c>
      <c r="X208" s="36">
        <v>0.12636</v>
      </c>
      <c r="Y208" s="36">
        <f>_xlfn.XLOOKUP(C208,Industry_Benchmark!$A$2:$A$82,Industry_Benchmark!$G$2:$G$82,"")</f>
        <v>0.12636</v>
      </c>
      <c r="Z208" s="59">
        <f>X208-Y208</f>
        <v>0</v>
      </c>
      <c r="AA208" s="35">
        <f>IF(Z208&gt;0,1,0)</f>
        <v>0</v>
      </c>
      <c r="AB208" s="60">
        <f>SUM(G208,K208,O208,S208,W208,AA208)</f>
        <v>0</v>
      </c>
      <c r="AC208" s="61">
        <f>AB208/6</f>
        <v>0</v>
      </c>
      <c r="AD208" s="62" t="str" cm="1">
        <f t="array" ref="AD208">_xlfn.IFS(
AB208=6,"Excellent",
AB208=5,"Strong",
AB208=4,"Good",
AB208=3,"Average",
AB208&lt;=2,"Weak"
)</f>
        <v>Weak</v>
      </c>
    </row>
    <row r="209" spans="1:30" x14ac:dyDescent="0.3">
      <c r="A209" s="12" t="s">
        <v>392</v>
      </c>
      <c r="B209" s="10" t="s">
        <v>393</v>
      </c>
      <c r="C209" s="10" t="s">
        <v>165</v>
      </c>
      <c r="D209" s="36">
        <v>8.5800000000000001E-2</v>
      </c>
      <c r="E209" s="36">
        <f>_xlfn.XLOOKUP(C209,Industry_Benchmark!$A$2:$A$82,Industry_Benchmark!$B$2:$B$82,"")</f>
        <v>8.6845711000000006E-2</v>
      </c>
      <c r="F209" s="36">
        <f>D209-E209</f>
        <v>-1.0457110000000047E-3</v>
      </c>
      <c r="G209" s="37">
        <f>IF(F209&gt;0,1,0)</f>
        <v>0</v>
      </c>
      <c r="H209" s="36">
        <v>-5.1999999999999998E-2</v>
      </c>
      <c r="I209" s="36">
        <f>_xlfn.XLOOKUP(C209,Industry_Benchmark!$A$2:$A$82,Industry_Benchmark!$C$2:$C$82,"")</f>
        <v>-5.5714285714285701E-3</v>
      </c>
      <c r="J209" s="36">
        <f>H209-I209</f>
        <v>-4.642857142857143E-2</v>
      </c>
      <c r="K209" s="37">
        <f>IF(J209&gt;0,1,0)</f>
        <v>0</v>
      </c>
      <c r="L209" s="35">
        <v>1.536</v>
      </c>
      <c r="M209" s="35">
        <f>_xlfn.XLOOKUP(C209,Industry_Benchmark!$A$2:$A$82,Industry_Benchmark!$D$2:$D$82,"")</f>
        <v>1.9000000000000001</v>
      </c>
      <c r="N209" s="35">
        <f>L209-M209</f>
        <v>-0.3640000000000001</v>
      </c>
      <c r="O209" s="35">
        <f>IF(N209&gt;0,1,0)</f>
        <v>0</v>
      </c>
      <c r="P209" s="36">
        <v>4.7270003999999997E-2</v>
      </c>
      <c r="Q209" s="36">
        <f>_xlfn.XLOOKUP(C209,Industry_Benchmark!$A$2:$A$82,Industry_Benchmark!$E$2:$E$82,"")</f>
        <v>5.5819999142857138E-2</v>
      </c>
      <c r="R209" s="36">
        <f>P209-Q209</f>
        <v>-8.5499951428571405E-3</v>
      </c>
      <c r="S209" s="37">
        <f>IF(R209&gt;0,1,0)</f>
        <v>0</v>
      </c>
      <c r="T209" s="35">
        <v>40.103999999999999</v>
      </c>
      <c r="U209" s="35">
        <f>_xlfn.XLOOKUP(C209,Industry_Benchmark!$A$2:$A$82,Industry_Benchmark!$F$2:$F$82,"")</f>
        <v>56.095714285714287</v>
      </c>
      <c r="V209" s="35">
        <f>T209-U209</f>
        <v>-15.991714285714288</v>
      </c>
      <c r="W209" s="35">
        <f>IF(V209&gt;0,1,0)</f>
        <v>0</v>
      </c>
      <c r="X209" s="36">
        <v>7.5209999999999999E-2</v>
      </c>
      <c r="Y209" s="36">
        <f>_xlfn.XLOOKUP(C209,Industry_Benchmark!$A$2:$A$82,Industry_Benchmark!$G$2:$G$82,"")</f>
        <v>0.33201799800000004</v>
      </c>
      <c r="Z209" s="59">
        <f>X209-Y209</f>
        <v>-0.25680799800000004</v>
      </c>
      <c r="AA209" s="35">
        <f>IF(Z209&gt;0,1,0)</f>
        <v>0</v>
      </c>
      <c r="AB209" s="60">
        <f>SUM(G209,K209,O209,S209,W209,AA209)</f>
        <v>0</v>
      </c>
      <c r="AC209" s="61">
        <f>AB209/6</f>
        <v>0</v>
      </c>
      <c r="AD209" s="62" t="str" cm="1">
        <f t="array" ref="AD209">_xlfn.IFS(
AB209=6,"Excellent",
AB209=5,"Strong",
AB209=4,"Good",
AB209=3,"Average",
AB209&lt;=2,"Weak"
)</f>
        <v>Weak</v>
      </c>
    </row>
    <row r="210" spans="1:30" x14ac:dyDescent="0.3">
      <c r="A210" s="12" t="s">
        <v>406</v>
      </c>
      <c r="B210" s="10" t="s">
        <v>407</v>
      </c>
      <c r="C210" s="10" t="s">
        <v>405</v>
      </c>
      <c r="D210" s="36">
        <v>0.11324999500000001</v>
      </c>
      <c r="E210" s="36">
        <f>_xlfn.XLOOKUP(C210,Industry_Benchmark!$A$2:$A$82,Industry_Benchmark!$B$2:$B$82,"")</f>
        <v>0.11324999500000001</v>
      </c>
      <c r="F210" s="36">
        <f>D210-E210</f>
        <v>0</v>
      </c>
      <c r="G210" s="37">
        <f>IF(F210&gt;0,1,0)</f>
        <v>0</v>
      </c>
      <c r="H210" s="36">
        <v>0.52800000000000002</v>
      </c>
      <c r="I210" s="36">
        <f>_xlfn.XLOOKUP(C210,Industry_Benchmark!$A$2:$A$82,Industry_Benchmark!$C$2:$C$82,"")</f>
        <v>0.52800000000000002</v>
      </c>
      <c r="J210" s="36">
        <f>H210-I210</f>
        <v>0</v>
      </c>
      <c r="K210" s="37">
        <f>IF(J210&gt;0,1,0)</f>
        <v>0</v>
      </c>
      <c r="L210" s="35">
        <v>1.5940000000000001</v>
      </c>
      <c r="M210" s="35">
        <f>_xlfn.XLOOKUP(C210,Industry_Benchmark!$A$2:$A$82,Industry_Benchmark!$D$2:$D$82,"")</f>
        <v>1.5940000000000001</v>
      </c>
      <c r="N210" s="35">
        <f>L210-M210</f>
        <v>0</v>
      </c>
      <c r="O210" s="35">
        <f>IF(N210&gt;0,1,0)</f>
        <v>0</v>
      </c>
      <c r="P210" s="36">
        <v>7.3959999999999998E-2</v>
      </c>
      <c r="Q210" s="36">
        <f>_xlfn.XLOOKUP(C210,Industry_Benchmark!$A$2:$A$82,Industry_Benchmark!$E$2:$E$82,"")</f>
        <v>7.3959999999999998E-2</v>
      </c>
      <c r="R210" s="36">
        <f>P210-Q210</f>
        <v>0</v>
      </c>
      <c r="S210" s="37">
        <f>IF(R210&gt;0,1,0)</f>
        <v>0</v>
      </c>
      <c r="T210" s="35">
        <v>97.456999999999994</v>
      </c>
      <c r="U210" s="35">
        <f>_xlfn.XLOOKUP(C210,Industry_Benchmark!$A$2:$A$82,Industry_Benchmark!$F$2:$F$82,"")</f>
        <v>97.456999999999994</v>
      </c>
      <c r="V210" s="35">
        <f>T210-U210</f>
        <v>0</v>
      </c>
      <c r="W210" s="35">
        <f>IF(V210&gt;0,1,0)</f>
        <v>0</v>
      </c>
      <c r="X210" s="36">
        <v>0.39372003</v>
      </c>
      <c r="Y210" s="36">
        <f>_xlfn.XLOOKUP(C210,Industry_Benchmark!$A$2:$A$82,Industry_Benchmark!$G$2:$G$82,"")</f>
        <v>0.39372003</v>
      </c>
      <c r="Z210" s="59">
        <f>X210-Y210</f>
        <v>0</v>
      </c>
      <c r="AA210" s="35">
        <f>IF(Z210&gt;0,1,0)</f>
        <v>0</v>
      </c>
      <c r="AB210" s="60">
        <f>SUM(G210,K210,O210,S210,W210,AA210)</f>
        <v>0</v>
      </c>
      <c r="AC210" s="61">
        <f>AB210/6</f>
        <v>0</v>
      </c>
      <c r="AD210" s="62" t="str" cm="1">
        <f t="array" ref="AD210">_xlfn.IFS(
AB210=6,"Excellent",
AB210=5,"Strong",
AB210=4,"Good",
AB210=3,"Average",
AB210&lt;=2,"Weak"
)</f>
        <v>Weak</v>
      </c>
    </row>
    <row r="211" spans="1:30" x14ac:dyDescent="0.3">
      <c r="A211" s="12" t="s">
        <v>414</v>
      </c>
      <c r="B211" s="10" t="s">
        <v>415</v>
      </c>
      <c r="C211" s="10" t="s">
        <v>413</v>
      </c>
      <c r="D211" s="36">
        <v>6.9169999999999995E-2</v>
      </c>
      <c r="E211" s="36">
        <f>_xlfn.XLOOKUP(C211,Industry_Benchmark!$A$2:$A$82,Industry_Benchmark!$B$2:$B$82,"")</f>
        <v>6.9169999999999995E-2</v>
      </c>
      <c r="F211" s="36">
        <f>D211-E211</f>
        <v>0</v>
      </c>
      <c r="G211" s="37">
        <f>IF(F211&gt;0,1,0)</f>
        <v>0</v>
      </c>
      <c r="H211" s="36">
        <v>7.3999999999999996E-2</v>
      </c>
      <c r="I211" s="36">
        <f>_xlfn.XLOOKUP(C211,Industry_Benchmark!$A$2:$A$82,Industry_Benchmark!$C$2:$C$82,"")</f>
        <v>7.3999999999999996E-2</v>
      </c>
      <c r="J211" s="36">
        <f>H211-I211</f>
        <v>0</v>
      </c>
      <c r="K211" s="37">
        <f>IF(J211&gt;0,1,0)</f>
        <v>0</v>
      </c>
      <c r="L211" s="35">
        <v>1.099</v>
      </c>
      <c r="M211" s="35">
        <f>_xlfn.XLOOKUP(C211,Industry_Benchmark!$A$2:$A$82,Industry_Benchmark!$D$2:$D$82,"")</f>
        <v>1.099</v>
      </c>
      <c r="N211" s="35">
        <f>L211-M211</f>
        <v>0</v>
      </c>
      <c r="O211" s="35">
        <f>IF(N211&gt;0,1,0)</f>
        <v>0</v>
      </c>
      <c r="P211" s="36">
        <v>5.0250000000000003E-2</v>
      </c>
      <c r="Q211" s="36">
        <f>_xlfn.XLOOKUP(C211,Industry_Benchmark!$A$2:$A$82,Industry_Benchmark!$E$2:$E$82,"")</f>
        <v>5.0250000000000003E-2</v>
      </c>
      <c r="R211" s="36">
        <f>P211-Q211</f>
        <v>0</v>
      </c>
      <c r="S211" s="37">
        <f>IF(R211&gt;0,1,0)</f>
        <v>0</v>
      </c>
      <c r="T211" s="35">
        <v>48.6</v>
      </c>
      <c r="U211" s="35">
        <f>_xlfn.XLOOKUP(C211,Industry_Benchmark!$A$2:$A$82,Industry_Benchmark!$F$2:$F$82,"")</f>
        <v>48.6</v>
      </c>
      <c r="V211" s="35">
        <f>T211-U211</f>
        <v>0</v>
      </c>
      <c r="W211" s="35">
        <f>IF(V211&gt;0,1,0)</f>
        <v>0</v>
      </c>
      <c r="X211" s="36">
        <v>9.3649999999999997E-2</v>
      </c>
      <c r="Y211" s="36">
        <f>_xlfn.XLOOKUP(C211,Industry_Benchmark!$A$2:$A$82,Industry_Benchmark!$G$2:$G$82,"")</f>
        <v>9.3649999999999997E-2</v>
      </c>
      <c r="Z211" s="59">
        <f>X211-Y211</f>
        <v>0</v>
      </c>
      <c r="AA211" s="35">
        <f>IF(Z211&gt;0,1,0)</f>
        <v>0</v>
      </c>
      <c r="AB211" s="60">
        <f>SUM(G211,K211,O211,S211,W211,AA211)</f>
        <v>0</v>
      </c>
      <c r="AC211" s="61">
        <f>AB211/6</f>
        <v>0</v>
      </c>
      <c r="AD211" s="62" t="str" cm="1">
        <f t="array" ref="AD211">_xlfn.IFS(
AB211=6,"Excellent",
AB211=5,"Strong",
AB211=4,"Good",
AB211=3,"Average",
AB211&lt;=2,"Weak"
)</f>
        <v>Weak</v>
      </c>
    </row>
    <row r="212" spans="1:30" x14ac:dyDescent="0.3">
      <c r="A212" s="12" t="s">
        <v>419</v>
      </c>
      <c r="B212" s="10" t="s">
        <v>420</v>
      </c>
      <c r="C212" s="10" t="s">
        <v>418</v>
      </c>
      <c r="D212" s="36">
        <v>5.4900004000000002E-3</v>
      </c>
      <c r="E212" s="36">
        <f>_xlfn.XLOOKUP(C212,Industry_Benchmark!$A$2:$A$82,Industry_Benchmark!$B$2:$B$82,"")</f>
        <v>5.4900004000000002E-3</v>
      </c>
      <c r="F212" s="36">
        <f>D212-E212</f>
        <v>0</v>
      </c>
      <c r="G212" s="37">
        <f>IF(F212&gt;0,1,0)</f>
        <v>0</v>
      </c>
      <c r="H212" s="36">
        <v>9.6000000000000002E-2</v>
      </c>
      <c r="I212" s="36">
        <f>_xlfn.XLOOKUP(C212,Industry_Benchmark!$A$2:$A$82,Industry_Benchmark!$C$2:$C$82,"")</f>
        <v>9.6000000000000002E-2</v>
      </c>
      <c r="J212" s="36">
        <f>H212-I212</f>
        <v>0</v>
      </c>
      <c r="K212" s="37">
        <f>IF(J212&gt;0,1,0)</f>
        <v>0</v>
      </c>
      <c r="L212" s="35">
        <v>0.98</v>
      </c>
      <c r="M212" s="35">
        <f>_xlfn.XLOOKUP(C212,Industry_Benchmark!$A$2:$A$82,Industry_Benchmark!$D$2:$D$82,"")</f>
        <v>0.98</v>
      </c>
      <c r="N212" s="35">
        <f>L212-M212</f>
        <v>0</v>
      </c>
      <c r="O212" s="35">
        <f>IF(N212&gt;0,1,0)</f>
        <v>0</v>
      </c>
      <c r="P212" s="36">
        <v>2.6859999999999998E-2</v>
      </c>
      <c r="Q212" s="36">
        <f>_xlfn.XLOOKUP(C212,Industry_Benchmark!$A$2:$A$82,Industry_Benchmark!$E$2:$E$82,"")</f>
        <v>2.6859999999999998E-2</v>
      </c>
      <c r="R212" s="36">
        <f>P212-Q212</f>
        <v>0</v>
      </c>
      <c r="S212" s="37">
        <f>IF(R212&gt;0,1,0)</f>
        <v>0</v>
      </c>
      <c r="T212" s="35">
        <v>0</v>
      </c>
      <c r="U212" s="35">
        <f>_xlfn.XLOOKUP(C212,Industry_Benchmark!$A$2:$A$82,Industry_Benchmark!$F$2:$F$82,"")</f>
        <v>0</v>
      </c>
      <c r="V212" s="35">
        <f>T212-U212</f>
        <v>0</v>
      </c>
      <c r="W212" s="35">
        <f>IF(V212&gt;0,1,0)</f>
        <v>0</v>
      </c>
      <c r="X212" s="36">
        <v>14.01754</v>
      </c>
      <c r="Y212" s="36">
        <f>_xlfn.XLOOKUP(C212,Industry_Benchmark!$A$2:$A$82,Industry_Benchmark!$G$2:$G$82,"")</f>
        <v>14.01754</v>
      </c>
      <c r="Z212" s="59">
        <f>X212-Y212</f>
        <v>0</v>
      </c>
      <c r="AA212" s="35">
        <f>IF(Z212&gt;0,1,0)</f>
        <v>0</v>
      </c>
      <c r="AB212" s="60">
        <f>SUM(G212,K212,O212,S212,W212,AA212)</f>
        <v>0</v>
      </c>
      <c r="AC212" s="61">
        <f>AB212/6</f>
        <v>0</v>
      </c>
      <c r="AD212" s="62" t="str" cm="1">
        <f t="array" ref="AD212">_xlfn.IFS(
AB212=6,"Excellent",
AB212=5,"Strong",
AB212=4,"Good",
AB212=3,"Average",
AB212&lt;=2,"Weak"
)</f>
        <v>Weak</v>
      </c>
    </row>
    <row r="213" spans="1:30" x14ac:dyDescent="0.3">
      <c r="A213" s="12" t="s">
        <v>435</v>
      </c>
      <c r="B213" s="10" t="s">
        <v>436</v>
      </c>
      <c r="C213" s="10" t="s">
        <v>245</v>
      </c>
      <c r="D213" s="36">
        <v>0.10640000600000001</v>
      </c>
      <c r="E213" s="36">
        <f>_xlfn.XLOOKUP(C213,Industry_Benchmark!$A$2:$A$82,Industry_Benchmark!$B$2:$B$82,"")</f>
        <v>0.10666250150000001</v>
      </c>
      <c r="F213" s="36">
        <f>D213-E213</f>
        <v>-2.6249550000000121E-4</v>
      </c>
      <c r="G213" s="37">
        <f>IF(F213&gt;0,1,0)</f>
        <v>0</v>
      </c>
      <c r="H213" s="36">
        <v>6.4000000000000001E-2</v>
      </c>
      <c r="I213" s="36">
        <f>_xlfn.XLOOKUP(C213,Industry_Benchmark!$A$2:$A$82,Industry_Benchmark!$C$2:$C$82,"")</f>
        <v>0.12125000000000001</v>
      </c>
      <c r="J213" s="36">
        <f>H213-I213</f>
        <v>-5.7250000000000009E-2</v>
      </c>
      <c r="K213" s="37">
        <f>IF(J213&gt;0,1,0)</f>
        <v>0</v>
      </c>
      <c r="L213" s="35">
        <v>0.36099999999999999</v>
      </c>
      <c r="M213" s="35">
        <f>_xlfn.XLOOKUP(C213,Industry_Benchmark!$A$2:$A$82,Industry_Benchmark!$D$2:$D$82,"")</f>
        <v>0.36975000000000002</v>
      </c>
      <c r="N213" s="35">
        <f>L213-M213</f>
        <v>-8.7500000000000355E-3</v>
      </c>
      <c r="O213" s="35">
        <f>IF(N213&gt;0,1,0)</f>
        <v>0</v>
      </c>
      <c r="P213" s="36">
        <v>2.5090002E-2</v>
      </c>
      <c r="Q213" s="36">
        <f>_xlfn.XLOOKUP(C213,Industry_Benchmark!$A$2:$A$82,Industry_Benchmark!$E$2:$E$82,"")</f>
        <v>3.255500075E-2</v>
      </c>
      <c r="R213" s="36">
        <f>P213-Q213</f>
        <v>-7.4649987500000001E-3</v>
      </c>
      <c r="S213" s="37">
        <f>IF(R213&gt;0,1,0)</f>
        <v>0</v>
      </c>
      <c r="T213" s="35">
        <v>25.602</v>
      </c>
      <c r="U213" s="35">
        <f>_xlfn.XLOOKUP(C213,Industry_Benchmark!$A$2:$A$82,Industry_Benchmark!$F$2:$F$82,"")</f>
        <v>29.932749999999999</v>
      </c>
      <c r="V213" s="35">
        <f>T213-U213</f>
        <v>-4.3307499999999983</v>
      </c>
      <c r="W213" s="35">
        <f>IF(V213&gt;0,1,0)</f>
        <v>0</v>
      </c>
      <c r="X213" s="36">
        <v>0.12922</v>
      </c>
      <c r="Y213" s="36">
        <f>_xlfn.XLOOKUP(C213,Industry_Benchmark!$A$2:$A$82,Industry_Benchmark!$G$2:$G$82,"")</f>
        <v>0.16450249750000001</v>
      </c>
      <c r="Z213" s="59">
        <f>X213-Y213</f>
        <v>-3.528249750000001E-2</v>
      </c>
      <c r="AA213" s="35">
        <f>IF(Z213&gt;0,1,0)</f>
        <v>0</v>
      </c>
      <c r="AB213" s="60">
        <f>SUM(G213,K213,O213,S213,W213,AA213)</f>
        <v>0</v>
      </c>
      <c r="AC213" s="61">
        <f>AB213/6</f>
        <v>0</v>
      </c>
      <c r="AD213" s="62" t="str" cm="1">
        <f t="array" ref="AD213">_xlfn.IFS(
AB213=6,"Excellent",
AB213=5,"Strong",
AB213=4,"Good",
AB213=3,"Average",
AB213&lt;=2,"Weak"
)</f>
        <v>Weak</v>
      </c>
    </row>
    <row r="214" spans="1:30" x14ac:dyDescent="0.3">
      <c r="A214" s="12" t="s">
        <v>459</v>
      </c>
      <c r="B214" s="10" t="s">
        <v>460</v>
      </c>
      <c r="C214" s="10" t="s">
        <v>458</v>
      </c>
      <c r="D214" s="36">
        <v>0.10668000599999999</v>
      </c>
      <c r="E214" s="36">
        <f>_xlfn.XLOOKUP(C214,Industry_Benchmark!$A$2:$A$82,Industry_Benchmark!$B$2:$B$82,"")</f>
        <v>0.10668000599999999</v>
      </c>
      <c r="F214" s="36">
        <f>D214-E214</f>
        <v>0</v>
      </c>
      <c r="G214" s="37">
        <f>IF(F214&gt;0,1,0)</f>
        <v>0</v>
      </c>
      <c r="H214" s="36">
        <v>0.27300000000000002</v>
      </c>
      <c r="I214" s="36">
        <f>_xlfn.XLOOKUP(C214,Industry_Benchmark!$A$2:$A$82,Industry_Benchmark!$C$2:$C$82,"")</f>
        <v>0.27300000000000002</v>
      </c>
      <c r="J214" s="36">
        <f>H214-I214</f>
        <v>0</v>
      </c>
      <c r="K214" s="37">
        <f>IF(J214&gt;0,1,0)</f>
        <v>0</v>
      </c>
      <c r="L214" s="35">
        <v>1.8120000000000001</v>
      </c>
      <c r="M214" s="35">
        <f>_xlfn.XLOOKUP(C214,Industry_Benchmark!$A$2:$A$82,Industry_Benchmark!$D$2:$D$82,"")</f>
        <v>1.8120000000000001</v>
      </c>
      <c r="N214" s="35">
        <f>L214-M214</f>
        <v>0</v>
      </c>
      <c r="O214" s="35">
        <f>IF(N214&gt;0,1,0)</f>
        <v>0</v>
      </c>
      <c r="P214" s="36">
        <v>1.3890001000000001E-2</v>
      </c>
      <c r="Q214" s="36">
        <f>_xlfn.XLOOKUP(C214,Industry_Benchmark!$A$2:$A$82,Industry_Benchmark!$E$2:$E$82,"")</f>
        <v>1.3890001000000001E-2</v>
      </c>
      <c r="R214" s="36">
        <f>P214-Q214</f>
        <v>0</v>
      </c>
      <c r="S214" s="37">
        <f>IF(R214&gt;0,1,0)</f>
        <v>0</v>
      </c>
      <c r="T214" s="35">
        <v>9.9</v>
      </c>
      <c r="U214" s="35">
        <f>_xlfn.XLOOKUP(C214,Industry_Benchmark!$A$2:$A$82,Industry_Benchmark!$F$2:$F$82,"")</f>
        <v>9.9</v>
      </c>
      <c r="V214" s="35">
        <f>T214-U214</f>
        <v>0</v>
      </c>
      <c r="W214" s="35">
        <f>IF(V214&gt;0,1,0)</f>
        <v>0</v>
      </c>
      <c r="X214" s="36">
        <v>7.1609995999999995E-2</v>
      </c>
      <c r="Y214" s="36">
        <f>_xlfn.XLOOKUP(C214,Industry_Benchmark!$A$2:$A$82,Industry_Benchmark!$G$2:$G$82,"")</f>
        <v>7.1609995999999995E-2</v>
      </c>
      <c r="Z214" s="59">
        <f>X214-Y214</f>
        <v>0</v>
      </c>
      <c r="AA214" s="35">
        <f>IF(Z214&gt;0,1,0)</f>
        <v>0</v>
      </c>
      <c r="AB214" s="60">
        <f>SUM(G214,K214,O214,S214,W214,AA214)</f>
        <v>0</v>
      </c>
      <c r="AC214" s="61">
        <f>AB214/6</f>
        <v>0</v>
      </c>
      <c r="AD214" s="62" t="str" cm="1">
        <f t="array" ref="AD214">_xlfn.IFS(
AB214=6,"Excellent",
AB214=5,"Strong",
AB214=4,"Good",
AB214=3,"Average",
AB214&lt;=2,"Weak"
)</f>
        <v>Weak</v>
      </c>
    </row>
    <row r="215" spans="1:30" x14ac:dyDescent="0.3">
      <c r="A215" s="12" t="s">
        <v>462</v>
      </c>
      <c r="B215" s="10" t="s">
        <v>463</v>
      </c>
      <c r="C215" s="10" t="s">
        <v>461</v>
      </c>
      <c r="D215" s="36">
        <v>-6.1000003000000001E-3</v>
      </c>
      <c r="E215" s="36">
        <f>_xlfn.XLOOKUP(C215,Industry_Benchmark!$A$2:$A$82,Industry_Benchmark!$B$2:$B$82,"")</f>
        <v>-6.1000003000000001E-3</v>
      </c>
      <c r="F215" s="36">
        <f>D215-E215</f>
        <v>0</v>
      </c>
      <c r="G215" s="37">
        <f>IF(F215&gt;0,1,0)</f>
        <v>0</v>
      </c>
      <c r="H215" s="36">
        <v>-4.8000000000000001E-2</v>
      </c>
      <c r="I215" s="36">
        <f>_xlfn.XLOOKUP(C215,Industry_Benchmark!$A$2:$A$82,Industry_Benchmark!$C$2:$C$82,"")</f>
        <v>-4.8000000000000001E-2</v>
      </c>
      <c r="J215" s="36">
        <f>H215-I215</f>
        <v>0</v>
      </c>
      <c r="K215" s="37">
        <f>IF(J215&gt;0,1,0)</f>
        <v>0</v>
      </c>
      <c r="L215" s="35">
        <v>1.502</v>
      </c>
      <c r="M215" s="35">
        <f>_xlfn.XLOOKUP(C215,Industry_Benchmark!$A$2:$A$82,Industry_Benchmark!$D$2:$D$82,"")</f>
        <v>1.502</v>
      </c>
      <c r="N215" s="35">
        <f>L215-M215</f>
        <v>0</v>
      </c>
      <c r="O215" s="35">
        <f>IF(N215&gt;0,1,0)</f>
        <v>0</v>
      </c>
      <c r="P215" s="36">
        <v>6.8760000000000002E-2</v>
      </c>
      <c r="Q215" s="36">
        <f>_xlfn.XLOOKUP(C215,Industry_Benchmark!$A$2:$A$82,Industry_Benchmark!$E$2:$E$82,"")</f>
        <v>6.8760000000000002E-2</v>
      </c>
      <c r="R215" s="36">
        <f>P215-Q215</f>
        <v>0</v>
      </c>
      <c r="S215" s="37">
        <f>IF(R215&gt;0,1,0)</f>
        <v>0</v>
      </c>
      <c r="T215" s="35">
        <v>90.09</v>
      </c>
      <c r="U215" s="35">
        <f>_xlfn.XLOOKUP(C215,Industry_Benchmark!$A$2:$A$82,Industry_Benchmark!$F$2:$F$82,"")</f>
        <v>90.09</v>
      </c>
      <c r="V215" s="35">
        <f>T215-U215</f>
        <v>0</v>
      </c>
      <c r="W215" s="35">
        <f>IF(V215&gt;0,1,0)</f>
        <v>0</v>
      </c>
      <c r="X215" s="36">
        <v>-1.1100000999999999E-3</v>
      </c>
      <c r="Y215" s="36">
        <f>_xlfn.XLOOKUP(C215,Industry_Benchmark!$A$2:$A$82,Industry_Benchmark!$G$2:$G$82,"")</f>
        <v>-1.1100000999999999E-3</v>
      </c>
      <c r="Z215" s="59">
        <f>X215-Y215</f>
        <v>0</v>
      </c>
      <c r="AA215" s="35">
        <f>IF(Z215&gt;0,1,0)</f>
        <v>0</v>
      </c>
      <c r="AB215" s="60">
        <f>SUM(G215,K215,O215,S215,W215,AA215)</f>
        <v>0</v>
      </c>
      <c r="AC215" s="61">
        <f>AB215/6</f>
        <v>0</v>
      </c>
      <c r="AD215" s="62" t="str" cm="1">
        <f t="array" ref="AD215">_xlfn.IFS(
AB215=6,"Excellent",
AB215=5,"Strong",
AB215=4,"Good",
AB215=3,"Average",
AB215&lt;=2,"Weak"
)</f>
        <v>Weak</v>
      </c>
    </row>
    <row r="216" spans="1:30" x14ac:dyDescent="0.3">
      <c r="A216" s="12" t="s">
        <v>467</v>
      </c>
      <c r="B216" s="10" t="s">
        <v>468</v>
      </c>
      <c r="C216" s="10" t="s">
        <v>466</v>
      </c>
      <c r="D216" s="36">
        <v>9.6860000000000002E-2</v>
      </c>
      <c r="E216" s="36">
        <f>_xlfn.XLOOKUP(C216,Industry_Benchmark!$A$2:$A$82,Industry_Benchmark!$B$2:$B$82,"")</f>
        <v>9.6860000000000002E-2</v>
      </c>
      <c r="F216" s="36">
        <f>D216-E216</f>
        <v>0</v>
      </c>
      <c r="G216" s="37">
        <f>IF(F216&gt;0,1,0)</f>
        <v>0</v>
      </c>
      <c r="H216" s="36">
        <v>0.19600000000000001</v>
      </c>
      <c r="I216" s="36">
        <f>_xlfn.XLOOKUP(C216,Industry_Benchmark!$A$2:$A$82,Industry_Benchmark!$C$2:$C$82,"")</f>
        <v>0.19600000000000001</v>
      </c>
      <c r="J216" s="36">
        <f>H216-I216</f>
        <v>0</v>
      </c>
      <c r="K216" s="37">
        <f>IF(J216&gt;0,1,0)</f>
        <v>0</v>
      </c>
      <c r="L216" s="35">
        <v>1.694</v>
      </c>
      <c r="M216" s="35">
        <f>_xlfn.XLOOKUP(C216,Industry_Benchmark!$A$2:$A$82,Industry_Benchmark!$D$2:$D$82,"")</f>
        <v>1.694</v>
      </c>
      <c r="N216" s="35">
        <f>L216-M216</f>
        <v>0</v>
      </c>
      <c r="O216" s="35">
        <f>IF(N216&gt;0,1,0)</f>
        <v>0</v>
      </c>
      <c r="P216" s="36">
        <v>1.3569999500000001E-2</v>
      </c>
      <c r="Q216" s="36">
        <f>_xlfn.XLOOKUP(C216,Industry_Benchmark!$A$2:$A$82,Industry_Benchmark!$E$2:$E$82,"")</f>
        <v>1.3569999500000001E-2</v>
      </c>
      <c r="R216" s="36">
        <f>P216-Q216</f>
        <v>0</v>
      </c>
      <c r="S216" s="37">
        <f>IF(R216&gt;0,1,0)</f>
        <v>0</v>
      </c>
      <c r="T216" s="35">
        <v>78.370999999999995</v>
      </c>
      <c r="U216" s="35">
        <f>_xlfn.XLOOKUP(C216,Industry_Benchmark!$A$2:$A$82,Industry_Benchmark!$F$2:$F$82,"")</f>
        <v>78.370999999999995</v>
      </c>
      <c r="V216" s="35">
        <f>T216-U216</f>
        <v>0</v>
      </c>
      <c r="W216" s="35">
        <f>IF(V216&gt;0,1,0)</f>
        <v>0</v>
      </c>
      <c r="X216" s="36">
        <v>2.614E-2</v>
      </c>
      <c r="Y216" s="36">
        <f>_xlfn.XLOOKUP(C216,Industry_Benchmark!$A$2:$A$82,Industry_Benchmark!$G$2:$G$82,"")</f>
        <v>2.614E-2</v>
      </c>
      <c r="Z216" s="59">
        <f>X216-Y216</f>
        <v>0</v>
      </c>
      <c r="AA216" s="35">
        <f>IF(Z216&gt;0,1,0)</f>
        <v>0</v>
      </c>
      <c r="AB216" s="60">
        <f>SUM(G216,K216,O216,S216,W216,AA216)</f>
        <v>0</v>
      </c>
      <c r="AC216" s="61">
        <f>AB216/6</f>
        <v>0</v>
      </c>
      <c r="AD216" s="62" t="str" cm="1">
        <f t="array" ref="AD216">_xlfn.IFS(
AB216=6,"Excellent",
AB216=5,"Strong",
AB216=4,"Good",
AB216=3,"Average",
AB216&lt;=2,"Weak"
)</f>
        <v>Weak</v>
      </c>
    </row>
    <row r="217" spans="1:30" x14ac:dyDescent="0.3">
      <c r="A217" s="12" t="s">
        <v>472</v>
      </c>
      <c r="B217" s="10" t="s">
        <v>473</v>
      </c>
      <c r="C217" s="10" t="s">
        <v>471</v>
      </c>
      <c r="D217" s="36">
        <v>1.2930000000000001E-2</v>
      </c>
      <c r="E217" s="36">
        <f>_xlfn.XLOOKUP(C217,Industry_Benchmark!$A$2:$A$82,Industry_Benchmark!$B$2:$B$82,"")</f>
        <v>1.2930000000000001E-2</v>
      </c>
      <c r="F217" s="36">
        <f>D217-E217</f>
        <v>0</v>
      </c>
      <c r="G217" s="37">
        <f>IF(F217&gt;0,1,0)</f>
        <v>0</v>
      </c>
      <c r="H217" s="36">
        <v>0.41199999999999998</v>
      </c>
      <c r="I217" s="36">
        <f>_xlfn.XLOOKUP(C217,Industry_Benchmark!$A$2:$A$82,Industry_Benchmark!$C$2:$C$82,"")</f>
        <v>0.41199999999999998</v>
      </c>
      <c r="J217" s="36">
        <f>H217-I217</f>
        <v>0</v>
      </c>
      <c r="K217" s="37">
        <f>IF(J217&gt;0,1,0)</f>
        <v>0</v>
      </c>
      <c r="L217" s="35">
        <v>1.325</v>
      </c>
      <c r="M217" s="35">
        <f>_xlfn.XLOOKUP(C217,Industry_Benchmark!$A$2:$A$82,Industry_Benchmark!$D$2:$D$82,"")</f>
        <v>1.325</v>
      </c>
      <c r="N217" s="35">
        <f>L217-M217</f>
        <v>0</v>
      </c>
      <c r="O217" s="35">
        <f>IF(N217&gt;0,1,0)</f>
        <v>0</v>
      </c>
      <c r="P217" s="36">
        <v>5.8349999999999999E-2</v>
      </c>
      <c r="Q217" s="36">
        <f>_xlfn.XLOOKUP(C217,Industry_Benchmark!$A$2:$A$82,Industry_Benchmark!$E$2:$E$82,"")</f>
        <v>5.8349999999999999E-2</v>
      </c>
      <c r="R217" s="36">
        <f>P217-Q217</f>
        <v>0</v>
      </c>
      <c r="S217" s="37">
        <f>IF(R217&gt;0,1,0)</f>
        <v>0</v>
      </c>
      <c r="T217" s="35">
        <v>944.60599999999999</v>
      </c>
      <c r="U217" s="35">
        <f>_xlfn.XLOOKUP(C217,Industry_Benchmark!$A$2:$A$82,Industry_Benchmark!$F$2:$F$82,"")</f>
        <v>944.60599999999999</v>
      </c>
      <c r="V217" s="35">
        <f>T217-U217</f>
        <v>0</v>
      </c>
      <c r="W217" s="35">
        <f>IF(V217&gt;0,1,0)</f>
        <v>0</v>
      </c>
      <c r="X217" s="36">
        <v>0.57828999999999997</v>
      </c>
      <c r="Y217" s="36">
        <f>_xlfn.XLOOKUP(C217,Industry_Benchmark!$A$2:$A$82,Industry_Benchmark!$G$2:$G$82,"")</f>
        <v>0.57828999999999997</v>
      </c>
      <c r="Z217" s="59">
        <f>X217-Y217</f>
        <v>0</v>
      </c>
      <c r="AA217" s="35">
        <f>IF(Z217&gt;0,1,0)</f>
        <v>0</v>
      </c>
      <c r="AB217" s="60">
        <f>SUM(G217,K217,O217,S217,W217,AA217)</f>
        <v>0</v>
      </c>
      <c r="AC217" s="61">
        <f>AB217/6</f>
        <v>0</v>
      </c>
      <c r="AD217" s="62" t="str" cm="1">
        <f t="array" ref="AD217">_xlfn.IFS(
AB217=6,"Excellent",
AB217=5,"Strong",
AB217=4,"Good",
AB217=3,"Average",
AB217&lt;=2,"Weak"
)</f>
        <v>Weak</v>
      </c>
    </row>
    <row r="218" spans="1:30" x14ac:dyDescent="0.3">
      <c r="A218" s="12" t="s">
        <v>475</v>
      </c>
      <c r="B218" s="10" t="s">
        <v>476</v>
      </c>
      <c r="C218" s="10" t="s">
        <v>474</v>
      </c>
      <c r="D218" s="36">
        <v>7.4699995999999999E-3</v>
      </c>
      <c r="E218" s="36">
        <f>_xlfn.XLOOKUP(C218,Industry_Benchmark!$A$2:$A$82,Industry_Benchmark!$B$2:$B$82,"")</f>
        <v>7.4699995999999999E-3</v>
      </c>
      <c r="F218" s="36">
        <f>D218-E218</f>
        <v>0</v>
      </c>
      <c r="G218" s="37">
        <f>IF(F218&gt;0,1,0)</f>
        <v>0</v>
      </c>
      <c r="H218" s="36">
        <v>7.1999999999999995E-2</v>
      </c>
      <c r="I218" s="36">
        <f>_xlfn.XLOOKUP(C218,Industry_Benchmark!$A$2:$A$82,Industry_Benchmark!$C$2:$C$82,"")</f>
        <v>7.1999999999999995E-2</v>
      </c>
      <c r="J218" s="36">
        <f>H218-I218</f>
        <v>0</v>
      </c>
      <c r="K218" s="37">
        <f>IF(J218&gt;0,1,0)</f>
        <v>0</v>
      </c>
      <c r="L218" s="35">
        <v>0.79700000000000004</v>
      </c>
      <c r="M218" s="35">
        <f>_xlfn.XLOOKUP(C218,Industry_Benchmark!$A$2:$A$82,Industry_Benchmark!$D$2:$D$82,"")</f>
        <v>0.79700000000000004</v>
      </c>
      <c r="N218" s="35">
        <f>L218-M218</f>
        <v>0</v>
      </c>
      <c r="O218" s="35">
        <f>IF(N218&gt;0,1,0)</f>
        <v>0</v>
      </c>
      <c r="P218" s="36">
        <v>3.3570003000000001E-2</v>
      </c>
      <c r="Q218" s="36">
        <f>_xlfn.XLOOKUP(C218,Industry_Benchmark!$A$2:$A$82,Industry_Benchmark!$E$2:$E$82,"")</f>
        <v>3.3570003000000001E-2</v>
      </c>
      <c r="R218" s="36">
        <f>P218-Q218</f>
        <v>0</v>
      </c>
      <c r="S218" s="37">
        <f>IF(R218&gt;0,1,0)</f>
        <v>0</v>
      </c>
      <c r="T218" s="35">
        <v>218.16499999999999</v>
      </c>
      <c r="U218" s="35">
        <f>_xlfn.XLOOKUP(C218,Industry_Benchmark!$A$2:$A$82,Industry_Benchmark!$F$2:$F$82,"")</f>
        <v>218.16499999999999</v>
      </c>
      <c r="V218" s="35">
        <f>T218-U218</f>
        <v>0</v>
      </c>
      <c r="W218" s="35">
        <f>IF(V218&gt;0,1,0)</f>
        <v>0</v>
      </c>
      <c r="X218" s="36">
        <v>0.10453</v>
      </c>
      <c r="Y218" s="36">
        <f>_xlfn.XLOOKUP(C218,Industry_Benchmark!$A$2:$A$82,Industry_Benchmark!$G$2:$G$82,"")</f>
        <v>0.10453</v>
      </c>
      <c r="Z218" s="59">
        <f>X218-Y218</f>
        <v>0</v>
      </c>
      <c r="AA218" s="35">
        <f>IF(Z218&gt;0,1,0)</f>
        <v>0</v>
      </c>
      <c r="AB218" s="60">
        <f>SUM(G218,K218,O218,S218,W218,AA218)</f>
        <v>0</v>
      </c>
      <c r="AC218" s="61">
        <f>AB218/6</f>
        <v>0</v>
      </c>
      <c r="AD218" s="62" t="str" cm="1">
        <f t="array" ref="AD218">_xlfn.IFS(
AB218=6,"Excellent",
AB218=5,"Strong",
AB218=4,"Good",
AB218=3,"Average",
AB218&lt;=2,"Weak"
)</f>
        <v>Weak</v>
      </c>
    </row>
    <row r="219" spans="1:30" x14ac:dyDescent="0.3">
      <c r="A219" s="12" t="s">
        <v>483</v>
      </c>
      <c r="B219" s="10" t="s">
        <v>484</v>
      </c>
      <c r="C219" s="10" t="s">
        <v>482</v>
      </c>
      <c r="D219" s="36">
        <v>0.15856999999999999</v>
      </c>
      <c r="E219" s="36">
        <f>_xlfn.XLOOKUP(C219,Industry_Benchmark!$A$2:$A$82,Industry_Benchmark!$B$2:$B$82,"")</f>
        <v>0.15856999999999999</v>
      </c>
      <c r="F219" s="36">
        <f>D219-E219</f>
        <v>0</v>
      </c>
      <c r="G219" s="37">
        <f>IF(F219&gt;0,1,0)</f>
        <v>0</v>
      </c>
      <c r="H219" s="36">
        <v>1.093</v>
      </c>
      <c r="I219" s="36">
        <f>_xlfn.XLOOKUP(C219,Industry_Benchmark!$A$2:$A$82,Industry_Benchmark!$C$2:$C$82,"")</f>
        <v>1.093</v>
      </c>
      <c r="J219" s="36">
        <f>H219-I219</f>
        <v>0</v>
      </c>
      <c r="K219" s="37">
        <f>IF(J219&gt;0,1,0)</f>
        <v>0</v>
      </c>
      <c r="L219" s="35">
        <v>2.5270000000000001</v>
      </c>
      <c r="M219" s="35">
        <f>_xlfn.XLOOKUP(C219,Industry_Benchmark!$A$2:$A$82,Industry_Benchmark!$D$2:$D$82,"")</f>
        <v>2.5270000000000001</v>
      </c>
      <c r="N219" s="35">
        <f>L219-M219</f>
        <v>0</v>
      </c>
      <c r="O219" s="35">
        <f>IF(N219&gt;0,1,0)</f>
        <v>0</v>
      </c>
      <c r="P219" s="36">
        <v>0.19094999000000001</v>
      </c>
      <c r="Q219" s="36">
        <f>_xlfn.XLOOKUP(C219,Industry_Benchmark!$A$2:$A$82,Industry_Benchmark!$E$2:$E$82,"")</f>
        <v>0.19094999000000001</v>
      </c>
      <c r="R219" s="36">
        <f>P219-Q219</f>
        <v>0</v>
      </c>
      <c r="S219" s="37">
        <f>IF(R219&gt;0,1,0)</f>
        <v>0</v>
      </c>
      <c r="T219" s="35">
        <v>41.688000000000002</v>
      </c>
      <c r="U219" s="35">
        <f>_xlfn.XLOOKUP(C219,Industry_Benchmark!$A$2:$A$82,Industry_Benchmark!$F$2:$F$82,"")</f>
        <v>41.688000000000002</v>
      </c>
      <c r="V219" s="35">
        <f>T219-U219</f>
        <v>0</v>
      </c>
      <c r="W219" s="35">
        <f>IF(V219&gt;0,1,0)</f>
        <v>0</v>
      </c>
      <c r="X219" s="36">
        <v>0.42226999999999998</v>
      </c>
      <c r="Y219" s="36">
        <f>_xlfn.XLOOKUP(C219,Industry_Benchmark!$A$2:$A$82,Industry_Benchmark!$G$2:$G$82,"")</f>
        <v>0.42226999999999998</v>
      </c>
      <c r="Z219" s="59">
        <f>X219-Y219</f>
        <v>0</v>
      </c>
      <c r="AA219" s="35">
        <f>IF(Z219&gt;0,1,0)</f>
        <v>0</v>
      </c>
      <c r="AB219" s="60">
        <f>SUM(G219,K219,O219,S219,W219,AA219)</f>
        <v>0</v>
      </c>
      <c r="AC219" s="61">
        <f>AB219/6</f>
        <v>0</v>
      </c>
      <c r="AD219" s="62" t="str" cm="1">
        <f t="array" ref="AD219">_xlfn.IFS(
AB219=6,"Excellent",
AB219=5,"Strong",
AB219=4,"Good",
AB219=3,"Average",
AB219&lt;=2,"Weak"
)</f>
        <v>Weak</v>
      </c>
    </row>
    <row r="220" spans="1:30" x14ac:dyDescent="0.3">
      <c r="A220" s="12" t="s">
        <v>492</v>
      </c>
      <c r="B220" s="10" t="s">
        <v>493</v>
      </c>
      <c r="C220" s="10" t="s">
        <v>491</v>
      </c>
      <c r="D220" s="36">
        <v>4.7640000000000002E-2</v>
      </c>
      <c r="E220" s="36">
        <f>_xlfn.XLOOKUP(C220,Industry_Benchmark!$A$2:$A$82,Industry_Benchmark!$B$2:$B$82,"")</f>
        <v>4.7640000000000002E-2</v>
      </c>
      <c r="F220" s="36">
        <f>D220-E220</f>
        <v>0</v>
      </c>
      <c r="G220" s="37">
        <f>IF(F220&gt;0,1,0)</f>
        <v>0</v>
      </c>
      <c r="H220" s="36">
        <v>7.8E-2</v>
      </c>
      <c r="I220" s="36">
        <f>_xlfn.XLOOKUP(C220,Industry_Benchmark!$A$2:$A$82,Industry_Benchmark!$C$2:$C$82,"")</f>
        <v>7.8E-2</v>
      </c>
      <c r="J220" s="36">
        <f>H220-I220</f>
        <v>0</v>
      </c>
      <c r="K220" s="37">
        <f>IF(J220&gt;0,1,0)</f>
        <v>0</v>
      </c>
      <c r="L220" s="35">
        <v>0.83099999999999996</v>
      </c>
      <c r="M220" s="35">
        <f>_xlfn.XLOOKUP(C220,Industry_Benchmark!$A$2:$A$82,Industry_Benchmark!$D$2:$D$82,"")</f>
        <v>0.83099999999999996</v>
      </c>
      <c r="N220" s="35">
        <f>L220-M220</f>
        <v>0</v>
      </c>
      <c r="O220" s="35">
        <f>IF(N220&gt;0,1,0)</f>
        <v>0</v>
      </c>
      <c r="P220" s="36">
        <v>2.649E-2</v>
      </c>
      <c r="Q220" s="36">
        <f>_xlfn.XLOOKUP(C220,Industry_Benchmark!$A$2:$A$82,Industry_Benchmark!$E$2:$E$82,"")</f>
        <v>2.649E-2</v>
      </c>
      <c r="R220" s="36">
        <f>P220-Q220</f>
        <v>0</v>
      </c>
      <c r="S220" s="37">
        <f>IF(R220&gt;0,1,0)</f>
        <v>0</v>
      </c>
      <c r="T220" s="35">
        <v>117.569</v>
      </c>
      <c r="U220" s="35">
        <f>_xlfn.XLOOKUP(C220,Industry_Benchmark!$A$2:$A$82,Industry_Benchmark!$F$2:$F$82,"")</f>
        <v>117.569</v>
      </c>
      <c r="V220" s="35">
        <f>T220-U220</f>
        <v>0</v>
      </c>
      <c r="W220" s="35">
        <f>IF(V220&gt;0,1,0)</f>
        <v>0</v>
      </c>
      <c r="X220" s="36">
        <v>0.21708</v>
      </c>
      <c r="Y220" s="36">
        <f>_xlfn.XLOOKUP(C220,Industry_Benchmark!$A$2:$A$82,Industry_Benchmark!$G$2:$G$82,"")</f>
        <v>0.21708</v>
      </c>
      <c r="Z220" s="59">
        <f>X220-Y220</f>
        <v>0</v>
      </c>
      <c r="AA220" s="35">
        <f>IF(Z220&gt;0,1,0)</f>
        <v>0</v>
      </c>
      <c r="AB220" s="60">
        <f>SUM(G220,K220,O220,S220,W220,AA220)</f>
        <v>0</v>
      </c>
      <c r="AC220" s="61">
        <f>AB220/6</f>
        <v>0</v>
      </c>
      <c r="AD220" s="62" t="str" cm="1">
        <f t="array" ref="AD220">_xlfn.IFS(
AB220=6,"Excellent",
AB220=5,"Strong",
AB220=4,"Good",
AB220=3,"Average",
AB220&lt;=2,"Weak"
)</f>
        <v>Weak</v>
      </c>
    </row>
    <row r="221" spans="1:30" x14ac:dyDescent="0.3">
      <c r="A221" s="12" t="s">
        <v>494</v>
      </c>
      <c r="B221" s="10" t="s">
        <v>495</v>
      </c>
      <c r="C221" s="10" t="s">
        <v>447</v>
      </c>
      <c r="D221" s="36">
        <v>0.10242999999999999</v>
      </c>
      <c r="E221" s="36">
        <f>_xlfn.XLOOKUP(C221,Industry_Benchmark!$A$2:$A$82,Industry_Benchmark!$B$2:$B$82,"")</f>
        <v>0.19272</v>
      </c>
      <c r="F221" s="36">
        <f>D221-E221</f>
        <v>-9.0290000000000009E-2</v>
      </c>
      <c r="G221" s="37">
        <f>IF(F221&gt;0,1,0)</f>
        <v>0</v>
      </c>
      <c r="H221" s="36">
        <v>9.2999999999999999E-2</v>
      </c>
      <c r="I221" s="36">
        <f>_xlfn.XLOOKUP(C221,Industry_Benchmark!$A$2:$A$82,Industry_Benchmark!$C$2:$C$82,"")</f>
        <v>0.16499999999999998</v>
      </c>
      <c r="J221" s="36">
        <f>H221-I221</f>
        <v>-7.1999999999999981E-2</v>
      </c>
      <c r="K221" s="37">
        <f>IF(J221&gt;0,1,0)</f>
        <v>0</v>
      </c>
      <c r="L221" s="35">
        <v>0.76200000000000001</v>
      </c>
      <c r="M221" s="35">
        <f>_xlfn.XLOOKUP(C221,Industry_Benchmark!$A$2:$A$82,Industry_Benchmark!$D$2:$D$82,"")</f>
        <v>2.9130000000000003</v>
      </c>
      <c r="N221" s="35">
        <f>L221-M221</f>
        <v>-2.1510000000000002</v>
      </c>
      <c r="O221" s="35">
        <f>IF(N221&gt;0,1,0)</f>
        <v>0</v>
      </c>
      <c r="P221" s="36">
        <v>9.9110000000000004E-2</v>
      </c>
      <c r="Q221" s="36">
        <f>_xlfn.XLOOKUP(C221,Industry_Benchmark!$A$2:$A$82,Industry_Benchmark!$E$2:$E$82,"")</f>
        <v>0.10383499800000001</v>
      </c>
      <c r="R221" s="36">
        <f>P221-Q221</f>
        <v>-4.724998000000008E-3</v>
      </c>
      <c r="S221" s="37">
        <f>IF(R221&gt;0,1,0)</f>
        <v>0</v>
      </c>
      <c r="T221" s="35">
        <v>0</v>
      </c>
      <c r="U221" s="35">
        <f>_xlfn.XLOOKUP(C221,Industry_Benchmark!$A$2:$A$82,Industry_Benchmark!$F$2:$F$82,"")</f>
        <v>0.79700000000000004</v>
      </c>
      <c r="V221" s="35">
        <f>T221-U221</f>
        <v>-0.79700000000000004</v>
      </c>
      <c r="W221" s="35">
        <f>IF(V221&gt;0,1,0)</f>
        <v>0</v>
      </c>
      <c r="X221" s="36"/>
      <c r="Y221" s="36">
        <f>_xlfn.XLOOKUP(C221,Industry_Benchmark!$A$2:$A$82,Industry_Benchmark!$G$2:$G$82,"")</f>
        <v>0.22579001000000001</v>
      </c>
      <c r="Z221" s="59">
        <f>X221-Y221</f>
        <v>-0.22579001000000001</v>
      </c>
      <c r="AA221" s="35">
        <f>IF(Z221&gt;0,1,0)</f>
        <v>0</v>
      </c>
      <c r="AB221" s="60">
        <f>SUM(G221,K221,O221,S221,W221,AA221)</f>
        <v>0</v>
      </c>
      <c r="AC221" s="61">
        <f>AB221/6</f>
        <v>0</v>
      </c>
      <c r="AD221" s="62" t="str" cm="1">
        <f t="array" ref="AD221">_xlfn.IFS(
AB221=6,"Excellent",
AB221=5,"Strong",
AB221=4,"Good",
AB221=3,"Average",
AB221&lt;=2,"Weak"
)</f>
        <v>Weak</v>
      </c>
    </row>
    <row r="222" spans="1:30" x14ac:dyDescent="0.3">
      <c r="A222" s="12" t="s">
        <v>506</v>
      </c>
      <c r="B222" s="10" t="s">
        <v>507</v>
      </c>
      <c r="C222" s="10" t="s">
        <v>348</v>
      </c>
      <c r="D222" s="36">
        <v>6.8199999999999997E-3</v>
      </c>
      <c r="E222" s="36">
        <f>_xlfn.XLOOKUP(C222,Industry_Benchmark!$A$2:$A$82,Industry_Benchmark!$B$2:$B$82,"")</f>
        <v>3.8926667999999998E-2</v>
      </c>
      <c r="F222" s="36">
        <f>D222-E222</f>
        <v>-3.2106667999999998E-2</v>
      </c>
      <c r="G222" s="37">
        <f>IF(F222&gt;0,1,0)</f>
        <v>0</v>
      </c>
      <c r="H222" s="36">
        <v>8.9999999999999993E-3</v>
      </c>
      <c r="I222" s="36">
        <f>_xlfn.XLOOKUP(C222,Industry_Benchmark!$A$2:$A$82,Industry_Benchmark!$C$2:$C$82,"")</f>
        <v>0.14366666666666666</v>
      </c>
      <c r="J222" s="36">
        <f>H222-I222</f>
        <v>-0.13466666666666666</v>
      </c>
      <c r="K222" s="37">
        <f>IF(J222&gt;0,1,0)</f>
        <v>0</v>
      </c>
      <c r="L222" s="35">
        <v>1.5920000000000001</v>
      </c>
      <c r="M222" s="35">
        <f>_xlfn.XLOOKUP(C222,Industry_Benchmark!$A$2:$A$82,Industry_Benchmark!$D$2:$D$82,"")</f>
        <v>1.7346666666666668</v>
      </c>
      <c r="N222" s="35">
        <f>L222-M222</f>
        <v>-0.14266666666666672</v>
      </c>
      <c r="O222" s="35">
        <f>IF(N222&gt;0,1,0)</f>
        <v>0</v>
      </c>
      <c r="P222" s="36">
        <v>3.0259999999999999E-2</v>
      </c>
      <c r="Q222" s="36">
        <f>_xlfn.XLOOKUP(C222,Industry_Benchmark!$A$2:$A$82,Industry_Benchmark!$E$2:$E$82,"")</f>
        <v>3.8259999999999995E-2</v>
      </c>
      <c r="R222" s="36">
        <f>P222-Q222</f>
        <v>-7.9999999999999967E-3</v>
      </c>
      <c r="S222" s="37">
        <f>IF(R222&gt;0,1,0)</f>
        <v>0</v>
      </c>
      <c r="T222" s="35">
        <v>39.704000000000001</v>
      </c>
      <c r="U222" s="35">
        <f>_xlfn.XLOOKUP(C222,Industry_Benchmark!$A$2:$A$82,Industry_Benchmark!$F$2:$F$82,"")</f>
        <v>106.27766666666666</v>
      </c>
      <c r="V222" s="35">
        <f>T222-U222</f>
        <v>-66.573666666666668</v>
      </c>
      <c r="W222" s="35">
        <f>IF(V222&gt;0,1,0)</f>
        <v>0</v>
      </c>
      <c r="X222" s="36">
        <v>1.6629999999999999E-2</v>
      </c>
      <c r="Y222" s="36">
        <f>_xlfn.XLOOKUP(C222,Industry_Benchmark!$A$2:$A$82,Industry_Benchmark!$G$2:$G$82,"")</f>
        <v>7.715000000000001E-2</v>
      </c>
      <c r="Z222" s="59">
        <f>X222-Y222</f>
        <v>-6.0520000000000011E-2</v>
      </c>
      <c r="AA222" s="35">
        <f>IF(Z222&gt;0,1,0)</f>
        <v>0</v>
      </c>
      <c r="AB222" s="60">
        <f>SUM(G222,K222,O222,S222,W222,AA222)</f>
        <v>0</v>
      </c>
      <c r="AC222" s="61">
        <f>AB222/6</f>
        <v>0</v>
      </c>
      <c r="AD222" s="62" t="str" cm="1">
        <f t="array" ref="AD222">_xlfn.IFS(
AB222=6,"Excellent",
AB222=5,"Strong",
AB222=4,"Good",
AB222=3,"Average",
AB222&lt;=2,"Weak"
)</f>
        <v>Weak</v>
      </c>
    </row>
    <row r="223" spans="1:30" x14ac:dyDescent="0.3">
      <c r="A223" s="12" t="s">
        <v>513</v>
      </c>
      <c r="B223" s="10" t="s">
        <v>514</v>
      </c>
      <c r="C223" s="10" t="s">
        <v>512</v>
      </c>
      <c r="D223" s="36">
        <v>8.0719990000000005E-2</v>
      </c>
      <c r="E223" s="36">
        <f>_xlfn.XLOOKUP(C223,Industry_Benchmark!$A$2:$A$82,Industry_Benchmark!$B$2:$B$82,"")</f>
        <v>8.0719990000000005E-2</v>
      </c>
      <c r="F223" s="36">
        <f>D223-E223</f>
        <v>0</v>
      </c>
      <c r="G223" s="37">
        <f>IF(F223&gt;0,1,0)</f>
        <v>0</v>
      </c>
      <c r="H223" s="36">
        <v>0.11700000000000001</v>
      </c>
      <c r="I223" s="36">
        <f>_xlfn.XLOOKUP(C223,Industry_Benchmark!$A$2:$A$82,Industry_Benchmark!$C$2:$C$82,"")</f>
        <v>0.11700000000000001</v>
      </c>
      <c r="J223" s="36">
        <f>H223-I223</f>
        <v>0</v>
      </c>
      <c r="K223" s="37">
        <f>IF(J223&gt;0,1,0)</f>
        <v>0</v>
      </c>
      <c r="L223" s="35">
        <v>1.7210000000000001</v>
      </c>
      <c r="M223" s="35">
        <f>_xlfn.XLOOKUP(C223,Industry_Benchmark!$A$2:$A$82,Industry_Benchmark!$D$2:$D$82,"")</f>
        <v>1.7210000000000001</v>
      </c>
      <c r="N223" s="35">
        <f>L223-M223</f>
        <v>0</v>
      </c>
      <c r="O223" s="35">
        <f>IF(N223&gt;0,1,0)</f>
        <v>0</v>
      </c>
      <c r="P223" s="36">
        <v>6.2609999999999999E-2</v>
      </c>
      <c r="Q223" s="36">
        <f>_xlfn.XLOOKUP(C223,Industry_Benchmark!$A$2:$A$82,Industry_Benchmark!$E$2:$E$82,"")</f>
        <v>6.2609999999999999E-2</v>
      </c>
      <c r="R223" s="36">
        <f>P223-Q223</f>
        <v>0</v>
      </c>
      <c r="S223" s="37">
        <f>IF(R223&gt;0,1,0)</f>
        <v>0</v>
      </c>
      <c r="T223" s="35">
        <v>145.94</v>
      </c>
      <c r="U223" s="35">
        <f>_xlfn.XLOOKUP(C223,Industry_Benchmark!$A$2:$A$82,Industry_Benchmark!$F$2:$F$82,"")</f>
        <v>145.94</v>
      </c>
      <c r="V223" s="35">
        <f>T223-U223</f>
        <v>0</v>
      </c>
      <c r="W223" s="35">
        <f>IF(V223&gt;0,1,0)</f>
        <v>0</v>
      </c>
      <c r="X223" s="36">
        <v>0.24882999</v>
      </c>
      <c r="Y223" s="36">
        <f>_xlfn.XLOOKUP(C223,Industry_Benchmark!$A$2:$A$82,Industry_Benchmark!$G$2:$G$82,"")</f>
        <v>0.24882999</v>
      </c>
      <c r="Z223" s="59">
        <f>X223-Y223</f>
        <v>0</v>
      </c>
      <c r="AA223" s="35">
        <f>IF(Z223&gt;0,1,0)</f>
        <v>0</v>
      </c>
      <c r="AB223" s="60">
        <f>SUM(G223,K223,O223,S223,W223,AA223)</f>
        <v>0</v>
      </c>
      <c r="AC223" s="61">
        <f>AB223/6</f>
        <v>0</v>
      </c>
      <c r="AD223" s="62" t="str" cm="1">
        <f t="array" ref="AD223">_xlfn.IFS(
AB223=6,"Excellent",
AB223=5,"Strong",
AB223=4,"Good",
AB223=3,"Average",
AB223&lt;=2,"Weak"
)</f>
        <v>Weak</v>
      </c>
    </row>
    <row r="224" spans="1:30" x14ac:dyDescent="0.3">
      <c r="A224" s="12" t="s">
        <v>520</v>
      </c>
      <c r="B224" s="10" t="s">
        <v>521</v>
      </c>
      <c r="C224" s="10" t="s">
        <v>519</v>
      </c>
      <c r="D224" s="36">
        <v>0.38617000000000001</v>
      </c>
      <c r="E224" s="36">
        <f>_xlfn.XLOOKUP(C224,Industry_Benchmark!$A$2:$A$82,Industry_Benchmark!$B$2:$B$82,"")</f>
        <v>0.38617000000000001</v>
      </c>
      <c r="F224" s="36">
        <f>D224-E224</f>
        <v>0</v>
      </c>
      <c r="G224" s="37">
        <f>IF(F224&gt;0,1,0)</f>
        <v>0</v>
      </c>
      <c r="H224" s="36">
        <v>8.9999999999999993E-3</v>
      </c>
      <c r="I224" s="36">
        <f>_xlfn.XLOOKUP(C224,Industry_Benchmark!$A$2:$A$82,Industry_Benchmark!$C$2:$C$82,"")</f>
        <v>8.9999999999999993E-3</v>
      </c>
      <c r="J224" s="36">
        <f>H224-I224</f>
        <v>0</v>
      </c>
      <c r="K224" s="37">
        <f>IF(J224&gt;0,1,0)</f>
        <v>0</v>
      </c>
      <c r="L224" s="35">
        <v>0.63100000000000001</v>
      </c>
      <c r="M224" s="35">
        <f>_xlfn.XLOOKUP(C224,Industry_Benchmark!$A$2:$A$82,Industry_Benchmark!$D$2:$D$82,"")</f>
        <v>0.63100000000000001</v>
      </c>
      <c r="N224" s="35">
        <f>L224-M224</f>
        <v>0</v>
      </c>
      <c r="O224" s="35">
        <f>IF(N224&gt;0,1,0)</f>
        <v>0</v>
      </c>
      <c r="P224" s="36">
        <v>1.308E-2</v>
      </c>
      <c r="Q224" s="36">
        <f>_xlfn.XLOOKUP(C224,Industry_Benchmark!$A$2:$A$82,Industry_Benchmark!$E$2:$E$82,"")</f>
        <v>1.308E-2</v>
      </c>
      <c r="R224" s="36">
        <f>P224-Q224</f>
        <v>0</v>
      </c>
      <c r="S224" s="37">
        <f>IF(R224&gt;0,1,0)</f>
        <v>0</v>
      </c>
      <c r="T224" s="35">
        <v>81.942999999999998</v>
      </c>
      <c r="U224" s="35">
        <f>_xlfn.XLOOKUP(C224,Industry_Benchmark!$A$2:$A$82,Industry_Benchmark!$F$2:$F$82,"")</f>
        <v>81.942999999999998</v>
      </c>
      <c r="V224" s="35">
        <f>T224-U224</f>
        <v>0</v>
      </c>
      <c r="W224" s="35">
        <f>IF(V224&gt;0,1,0)</f>
        <v>0</v>
      </c>
      <c r="X224" s="36">
        <v>9.4420000000000004E-2</v>
      </c>
      <c r="Y224" s="36">
        <f>_xlfn.XLOOKUP(C224,Industry_Benchmark!$A$2:$A$82,Industry_Benchmark!$G$2:$G$82,"")</f>
        <v>9.4420000000000004E-2</v>
      </c>
      <c r="Z224" s="59">
        <f>X224-Y224</f>
        <v>0</v>
      </c>
      <c r="AA224" s="35">
        <f>IF(Z224&gt;0,1,0)</f>
        <v>0</v>
      </c>
      <c r="AB224" s="60">
        <f>SUM(G224,K224,O224,S224,W224,AA224)</f>
        <v>0</v>
      </c>
      <c r="AC224" s="61">
        <f>AB224/6</f>
        <v>0</v>
      </c>
      <c r="AD224" s="62" t="str" cm="1">
        <f t="array" ref="AD224">_xlfn.IFS(
AB224=6,"Excellent",
AB224=5,"Strong",
AB224=4,"Good",
AB224=3,"Average",
AB224&lt;=2,"Weak"
)</f>
        <v>Weak</v>
      </c>
    </row>
    <row r="225" spans="1:30" x14ac:dyDescent="0.3">
      <c r="A225" s="12" t="s">
        <v>535</v>
      </c>
      <c r="B225" s="10" t="s">
        <v>536</v>
      </c>
      <c r="C225" s="10" t="s">
        <v>534</v>
      </c>
      <c r="D225" s="36">
        <v>0.19679000999999999</v>
      </c>
      <c r="E225" s="36">
        <f>_xlfn.XLOOKUP(C225,Industry_Benchmark!$A$2:$A$82,Industry_Benchmark!$B$2:$B$82,"")</f>
        <v>0.19679000999999999</v>
      </c>
      <c r="F225" s="36">
        <f>D225-E225</f>
        <v>0</v>
      </c>
      <c r="G225" s="37">
        <f>IF(F225&gt;0,1,0)</f>
        <v>0</v>
      </c>
      <c r="H225" s="36">
        <v>0.314</v>
      </c>
      <c r="I225" s="36">
        <f>_xlfn.XLOOKUP(C225,Industry_Benchmark!$A$2:$A$82,Industry_Benchmark!$C$2:$C$82,"")</f>
        <v>0.314</v>
      </c>
      <c r="J225" s="36">
        <f>H225-I225</f>
        <v>0</v>
      </c>
      <c r="K225" s="37">
        <f>IF(J225&gt;0,1,0)</f>
        <v>0</v>
      </c>
      <c r="L225" s="35">
        <v>2.9809999999999999</v>
      </c>
      <c r="M225" s="35">
        <f>_xlfn.XLOOKUP(C225,Industry_Benchmark!$A$2:$A$82,Industry_Benchmark!$D$2:$D$82,"")</f>
        <v>2.9809999999999999</v>
      </c>
      <c r="N225" s="35">
        <f>L225-M225</f>
        <v>0</v>
      </c>
      <c r="O225" s="35">
        <f>IF(N225&gt;0,1,0)</f>
        <v>0</v>
      </c>
      <c r="P225" s="36">
        <v>0.18926000000000001</v>
      </c>
      <c r="Q225" s="36">
        <f>_xlfn.XLOOKUP(C225,Industry_Benchmark!$A$2:$A$82,Industry_Benchmark!$E$2:$E$82,"")</f>
        <v>0.18926000000000001</v>
      </c>
      <c r="R225" s="36">
        <f>P225-Q225</f>
        <v>0</v>
      </c>
      <c r="S225" s="37">
        <f>IF(R225&gt;0,1,0)</f>
        <v>0</v>
      </c>
      <c r="T225" s="35">
        <v>5.51</v>
      </c>
      <c r="U225" s="35">
        <f>_xlfn.XLOOKUP(C225,Industry_Benchmark!$A$2:$A$82,Industry_Benchmark!$F$2:$F$82,"")</f>
        <v>5.51</v>
      </c>
      <c r="V225" s="35">
        <f>T225-U225</f>
        <v>0</v>
      </c>
      <c r="W225" s="35">
        <f>IF(V225&gt;0,1,0)</f>
        <v>0</v>
      </c>
      <c r="X225" s="36">
        <v>0.29527999999999999</v>
      </c>
      <c r="Y225" s="36">
        <f>_xlfn.XLOOKUP(C225,Industry_Benchmark!$A$2:$A$82,Industry_Benchmark!$G$2:$G$82,"")</f>
        <v>0.29527999999999999</v>
      </c>
      <c r="Z225" s="59">
        <f>X225-Y225</f>
        <v>0</v>
      </c>
      <c r="AA225" s="35">
        <f>IF(Z225&gt;0,1,0)</f>
        <v>0</v>
      </c>
      <c r="AB225" s="60">
        <f>SUM(G225,K225,O225,S225,W225,AA225)</f>
        <v>0</v>
      </c>
      <c r="AC225" s="61">
        <f>AB225/6</f>
        <v>0</v>
      </c>
      <c r="AD225" s="62" t="str" cm="1">
        <f t="array" ref="AD225">_xlfn.IFS(
AB225=6,"Excellent",
AB225=5,"Strong",
AB225=4,"Good",
AB225=3,"Average",
AB225&lt;=2,"Weak"
)</f>
        <v>Weak</v>
      </c>
    </row>
    <row r="226" spans="1:30" x14ac:dyDescent="0.3">
      <c r="A226" s="12" t="s">
        <v>560</v>
      </c>
      <c r="B226" s="10" t="s">
        <v>561</v>
      </c>
      <c r="C226" s="10" t="s">
        <v>559</v>
      </c>
      <c r="D226" s="36">
        <v>0.44369999999999998</v>
      </c>
      <c r="E226" s="36">
        <f>_xlfn.XLOOKUP(C226,Industry_Benchmark!$A$2:$A$82,Industry_Benchmark!$B$2:$B$82,"")</f>
        <v>0.44369999999999998</v>
      </c>
      <c r="F226" s="36">
        <f>D226-E226</f>
        <v>0</v>
      </c>
      <c r="G226" s="37">
        <f>IF(F226&gt;0,1,0)</f>
        <v>0</v>
      </c>
      <c r="H226" s="36">
        <v>2.5999999999999999E-2</v>
      </c>
      <c r="I226" s="36">
        <f>_xlfn.XLOOKUP(C226,Industry_Benchmark!$A$2:$A$82,Industry_Benchmark!$C$2:$C$82,"")</f>
        <v>2.5999999999999999E-2</v>
      </c>
      <c r="J226" s="36">
        <f>H226-I226</f>
        <v>0</v>
      </c>
      <c r="K226" s="37">
        <f>IF(J226&gt;0,1,0)</f>
        <v>0</v>
      </c>
      <c r="L226" s="35">
        <v>1.0449999999999999</v>
      </c>
      <c r="M226" s="35">
        <f>_xlfn.XLOOKUP(C226,Industry_Benchmark!$A$2:$A$82,Industry_Benchmark!$D$2:$D$82,"")</f>
        <v>1.0449999999999999</v>
      </c>
      <c r="N226" s="35">
        <f>L226-M226</f>
        <v>0</v>
      </c>
      <c r="O226" s="35">
        <f>IF(N226&gt;0,1,0)</f>
        <v>0</v>
      </c>
      <c r="P226" s="36">
        <v>1.983E-2</v>
      </c>
      <c r="Q226" s="36">
        <f>_xlfn.XLOOKUP(C226,Industry_Benchmark!$A$2:$A$82,Industry_Benchmark!$E$2:$E$82,"")</f>
        <v>1.983E-2</v>
      </c>
      <c r="R226" s="36">
        <f>P226-Q226</f>
        <v>0</v>
      </c>
      <c r="S226" s="37">
        <f>IF(R226&gt;0,1,0)</f>
        <v>0</v>
      </c>
      <c r="T226" s="35">
        <v>73.709000000000003</v>
      </c>
      <c r="U226" s="35">
        <f>_xlfn.XLOOKUP(C226,Industry_Benchmark!$A$2:$A$82,Industry_Benchmark!$F$2:$F$82,"")</f>
        <v>73.709000000000003</v>
      </c>
      <c r="V226" s="35">
        <f>T226-U226</f>
        <v>0</v>
      </c>
      <c r="W226" s="35">
        <f>IF(V226&gt;0,1,0)</f>
        <v>0</v>
      </c>
      <c r="X226" s="36">
        <v>9.4130000000000005E-2</v>
      </c>
      <c r="Y226" s="36">
        <f>_xlfn.XLOOKUP(C226,Industry_Benchmark!$A$2:$A$82,Industry_Benchmark!$G$2:$G$82,"")</f>
        <v>9.4130000000000005E-2</v>
      </c>
      <c r="Z226" s="59">
        <f>X226-Y226</f>
        <v>0</v>
      </c>
      <c r="AA226" s="35">
        <f>IF(Z226&gt;0,1,0)</f>
        <v>0</v>
      </c>
      <c r="AB226" s="60">
        <f>SUM(G226,K226,O226,S226,W226,AA226)</f>
        <v>0</v>
      </c>
      <c r="AC226" s="61">
        <f>AB226/6</f>
        <v>0</v>
      </c>
      <c r="AD226" s="62" t="str" cm="1">
        <f t="array" ref="AD226">_xlfn.IFS(
AB226=6,"Excellent",
AB226=5,"Strong",
AB226=4,"Good",
AB226=3,"Average",
AB226&lt;=2,"Weak"
)</f>
        <v>Weak</v>
      </c>
    </row>
    <row r="227" spans="1:30" ht="15" thickBot="1" x14ac:dyDescent="0.35">
      <c r="A227" s="14" t="s">
        <v>571</v>
      </c>
      <c r="B227" s="39" t="s">
        <v>572</v>
      </c>
      <c r="C227" s="39" t="s">
        <v>570</v>
      </c>
      <c r="D227" s="40">
        <v>0.23777999999999999</v>
      </c>
      <c r="E227" s="40">
        <f>_xlfn.XLOOKUP(C227,Industry_Benchmark!$A$2:$A$82,Industry_Benchmark!$B$2:$B$82,"")</f>
        <v>0.23777999999999999</v>
      </c>
      <c r="F227" s="40">
        <f>D227-E227</f>
        <v>0</v>
      </c>
      <c r="G227" s="41">
        <f>IF(F227&gt;0,1,0)</f>
        <v>0</v>
      </c>
      <c r="H227" s="40">
        <v>0.08</v>
      </c>
      <c r="I227" s="40">
        <f>_xlfn.XLOOKUP(C227,Industry_Benchmark!$A$2:$A$82,Industry_Benchmark!$C$2:$C$82,"")</f>
        <v>0.08</v>
      </c>
      <c r="J227" s="40">
        <f>H227-I227</f>
        <v>0</v>
      </c>
      <c r="K227" s="41">
        <f>IF(J227&gt;0,1,0)</f>
        <v>0</v>
      </c>
      <c r="L227" s="38">
        <v>0.50700000000000001</v>
      </c>
      <c r="M227" s="38">
        <f>_xlfn.XLOOKUP(C227,Industry_Benchmark!$A$2:$A$82,Industry_Benchmark!$D$2:$D$82,"")</f>
        <v>0.50700000000000001</v>
      </c>
      <c r="N227" s="38">
        <f>L227-M227</f>
        <v>0</v>
      </c>
      <c r="O227" s="38">
        <f>IF(N227&gt;0,1,0)</f>
        <v>0</v>
      </c>
      <c r="P227" s="40">
        <v>8.9020009999999997E-2</v>
      </c>
      <c r="Q227" s="40">
        <f>_xlfn.XLOOKUP(C227,Industry_Benchmark!$A$2:$A$82,Industry_Benchmark!$E$2:$E$82,"")</f>
        <v>8.9020009999999997E-2</v>
      </c>
      <c r="R227" s="40">
        <f>P227-Q227</f>
        <v>0</v>
      </c>
      <c r="S227" s="41">
        <f>IF(R227&gt;0,1,0)</f>
        <v>0</v>
      </c>
      <c r="T227" s="38">
        <v>124.735</v>
      </c>
      <c r="U227" s="38">
        <f>_xlfn.XLOOKUP(C227,Industry_Benchmark!$A$2:$A$82,Industry_Benchmark!$F$2:$F$82,"")</f>
        <v>124.735</v>
      </c>
      <c r="V227" s="38">
        <f>T227-U227</f>
        <v>0</v>
      </c>
      <c r="W227" s="38">
        <f>IF(V227&gt;0,1,0)</f>
        <v>0</v>
      </c>
      <c r="X227" s="40">
        <v>0.27184999999999998</v>
      </c>
      <c r="Y227" s="40">
        <f>_xlfn.XLOOKUP(C227,Industry_Benchmark!$A$2:$A$82,Industry_Benchmark!$G$2:$G$82,"")</f>
        <v>0.27184999999999998</v>
      </c>
      <c r="Z227" s="63">
        <f>X227-Y227</f>
        <v>0</v>
      </c>
      <c r="AA227" s="38">
        <f>IF(Z227&gt;0,1,0)</f>
        <v>0</v>
      </c>
      <c r="AB227" s="64">
        <f>SUM(G227,K227,O227,S227,W227,AA227)</f>
        <v>0</v>
      </c>
      <c r="AC227" s="65">
        <f>AB227/6</f>
        <v>0</v>
      </c>
      <c r="AD227" s="66" t="str" cm="1">
        <f t="array" ref="AD227">_xlfn.IFS(
AB227=6,"Excellent",
AB227=5,"Strong",
AB227=4,"Good",
AB227=3,"Average",
AB227&lt;=2,"Weak"
)</f>
        <v>Weak</v>
      </c>
    </row>
  </sheetData>
  <sortState xmlns:xlrd2="http://schemas.microsoft.com/office/spreadsheetml/2017/richdata2" ref="A2:AD227">
    <sortCondition descending="1" ref="AB2:AB22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041D-2D8C-45A4-AB1D-E00E4DC9CA1B}">
  <dimension ref="A1:N84"/>
  <sheetViews>
    <sheetView zoomScale="63" workbookViewId="0">
      <selection activeCell="Q9" sqref="Q9"/>
    </sheetView>
  </sheetViews>
  <sheetFormatPr defaultRowHeight="14.4" x14ac:dyDescent="0.3"/>
  <cols>
    <col min="1" max="1" width="42.109375" bestFit="1" customWidth="1"/>
    <col min="2" max="2" width="28" bestFit="1" customWidth="1"/>
    <col min="3" max="3" width="10" customWidth="1"/>
    <col min="4" max="4" width="10.88671875" customWidth="1"/>
    <col min="7" max="7" width="35.88671875" bestFit="1" customWidth="1"/>
    <col min="8" max="8" width="17" style="31" bestFit="1" customWidth="1"/>
    <col min="9" max="9" width="14.33203125" style="31" customWidth="1"/>
    <col min="10" max="10" width="14.6640625" style="31" bestFit="1" customWidth="1"/>
    <col min="11" max="11" width="25.77734375" style="31" bestFit="1" customWidth="1"/>
    <col min="12" max="12" width="22.6640625" style="31" customWidth="1"/>
    <col min="13" max="13" width="30.44140625" style="31" bestFit="1" customWidth="1"/>
    <col min="14" max="14" width="24" style="31" bestFit="1" customWidth="1"/>
  </cols>
  <sheetData>
    <row r="1" spans="1:14" ht="15" thickBot="1" x14ac:dyDescent="0.35">
      <c r="A1" s="94" t="s">
        <v>619</v>
      </c>
      <c r="B1" s="94"/>
      <c r="G1" s="95" t="s">
        <v>623</v>
      </c>
      <c r="H1" s="95"/>
      <c r="I1" s="95"/>
      <c r="J1" s="95"/>
      <c r="K1" s="95"/>
      <c r="L1" s="95"/>
      <c r="M1" s="95"/>
      <c r="N1" s="95"/>
    </row>
    <row r="2" spans="1:14" ht="15" thickBot="1" x14ac:dyDescent="0.35">
      <c r="A2" s="94"/>
      <c r="B2" s="94"/>
      <c r="G2" s="24" t="s">
        <v>575</v>
      </c>
      <c r="H2" s="53" t="s">
        <v>634</v>
      </c>
      <c r="I2" s="53" t="s">
        <v>597</v>
      </c>
      <c r="J2" s="53" t="s">
        <v>595</v>
      </c>
      <c r="K2" s="53" t="s">
        <v>593</v>
      </c>
      <c r="L2" s="53" t="s">
        <v>592</v>
      </c>
      <c r="M2" s="53" t="s">
        <v>633</v>
      </c>
      <c r="N2" s="54" t="s">
        <v>596</v>
      </c>
    </row>
    <row r="3" spans="1:14" ht="15" thickBot="1" x14ac:dyDescent="0.35">
      <c r="G3" s="19" t="s">
        <v>165</v>
      </c>
      <c r="H3" s="92">
        <v>7</v>
      </c>
      <c r="I3" s="92">
        <v>0.33201799800000004</v>
      </c>
      <c r="J3" s="92">
        <v>5.5819999142857138E-2</v>
      </c>
      <c r="K3" s="55">
        <v>-5.5714285714285692E-3</v>
      </c>
      <c r="L3" s="55">
        <v>8.684571100000002E-2</v>
      </c>
      <c r="M3" s="56">
        <v>2.1428571428571428</v>
      </c>
      <c r="N3" s="93">
        <v>56.095714285714287</v>
      </c>
    </row>
    <row r="4" spans="1:14" ht="15" thickBot="1" x14ac:dyDescent="0.35">
      <c r="A4" s="81" t="s">
        <v>620</v>
      </c>
      <c r="B4" s="82"/>
      <c r="G4" s="12" t="s">
        <v>458</v>
      </c>
      <c r="H4" s="88">
        <v>1</v>
      </c>
      <c r="I4" s="88">
        <v>7.1609995999999995E-2</v>
      </c>
      <c r="J4" s="88">
        <v>1.3890001000000001E-2</v>
      </c>
      <c r="K4" s="59">
        <v>0.27300000000000002</v>
      </c>
      <c r="L4" s="59">
        <v>0.10668000599999999</v>
      </c>
      <c r="M4" s="60">
        <v>0</v>
      </c>
      <c r="N4" s="89">
        <v>9.9</v>
      </c>
    </row>
    <row r="5" spans="1:14" x14ac:dyDescent="0.3">
      <c r="A5" s="72" t="s">
        <v>624</v>
      </c>
      <c r="B5" s="73">
        <f>COUNTA(Company_Scoring!A1:A227)-1</f>
        <v>226</v>
      </c>
      <c r="G5" s="12" t="s">
        <v>294</v>
      </c>
      <c r="H5" s="88">
        <v>1</v>
      </c>
      <c r="I5" s="88">
        <v>0.44425999999999999</v>
      </c>
      <c r="J5" s="88">
        <v>7.8009999999999996E-2</v>
      </c>
      <c r="K5" s="59">
        <v>0.23899999999999999</v>
      </c>
      <c r="L5" s="59">
        <v>5.8459999999999998E-2</v>
      </c>
      <c r="M5" s="60">
        <v>0</v>
      </c>
      <c r="N5" s="89">
        <v>198.94200000000001</v>
      </c>
    </row>
    <row r="6" spans="1:14" x14ac:dyDescent="0.3">
      <c r="A6" s="74" t="s">
        <v>625</v>
      </c>
      <c r="B6" s="75">
        <f>AVERAGE(Company_Scoring!AB2:AB227)</f>
        <v>2.331858407079646</v>
      </c>
      <c r="G6" s="12" t="s">
        <v>213</v>
      </c>
      <c r="H6" s="88">
        <v>3</v>
      </c>
      <c r="I6" s="88">
        <v>0.32166999999999996</v>
      </c>
      <c r="J6" s="88">
        <v>8.1486663333333334E-2</v>
      </c>
      <c r="K6" s="59">
        <v>0.156</v>
      </c>
      <c r="L6" s="59">
        <v>0.30562332333333336</v>
      </c>
      <c r="M6" s="60">
        <v>2.3333333333333335</v>
      </c>
      <c r="N6" s="89">
        <v>31.016666666666666</v>
      </c>
    </row>
    <row r="7" spans="1:14" x14ac:dyDescent="0.3">
      <c r="A7" s="74" t="s">
        <v>626</v>
      </c>
      <c r="B7" s="76">
        <f>COUNTIF(Company_Scoring!AB2:AB227,"&gt;=5")</f>
        <v>29</v>
      </c>
      <c r="G7" s="12" t="s">
        <v>54</v>
      </c>
      <c r="H7" s="88">
        <v>3</v>
      </c>
      <c r="I7" s="88">
        <v>0.25986000999999997</v>
      </c>
      <c r="J7" s="88">
        <v>3.6796666666666665E-2</v>
      </c>
      <c r="K7" s="59">
        <v>0.17033333333333334</v>
      </c>
      <c r="L7" s="59">
        <v>9.4826665333333338E-2</v>
      </c>
      <c r="M7" s="60">
        <v>2.3333333333333335</v>
      </c>
      <c r="N7" s="89">
        <v>163.52166666666665</v>
      </c>
    </row>
    <row r="8" spans="1:14" ht="15" thickBot="1" x14ac:dyDescent="0.35">
      <c r="A8" s="77" t="s">
        <v>627</v>
      </c>
      <c r="B8" s="43">
        <f>COUNTIF(Company_Scoring!AB2:AB227,"&lt;=2")</f>
        <v>126</v>
      </c>
      <c r="G8" s="12" t="s">
        <v>93</v>
      </c>
      <c r="H8" s="88">
        <v>3</v>
      </c>
      <c r="I8" s="88">
        <v>0.41078666000000003</v>
      </c>
      <c r="J8" s="88">
        <v>0.10935333466666668</v>
      </c>
      <c r="K8" s="59">
        <v>0.13633333333333333</v>
      </c>
      <c r="L8" s="59">
        <v>0.20896999666666669</v>
      </c>
      <c r="M8" s="60">
        <v>2.6666666666666665</v>
      </c>
      <c r="N8" s="89">
        <v>143.72033333333334</v>
      </c>
    </row>
    <row r="9" spans="1:14" ht="15" thickBot="1" x14ac:dyDescent="0.35">
      <c r="G9" s="12" t="s">
        <v>461</v>
      </c>
      <c r="H9" s="88">
        <v>1</v>
      </c>
      <c r="I9" s="88">
        <v>-1.1100000999999999E-3</v>
      </c>
      <c r="J9" s="88">
        <v>6.8760000000000002E-2</v>
      </c>
      <c r="K9" s="59">
        <v>-4.8000000000000001E-2</v>
      </c>
      <c r="L9" s="59">
        <v>-6.1000003000000001E-3</v>
      </c>
      <c r="M9" s="60">
        <v>0</v>
      </c>
      <c r="N9" s="89">
        <v>90.09</v>
      </c>
    </row>
    <row r="10" spans="1:14" ht="15" thickBot="1" x14ac:dyDescent="0.35">
      <c r="A10" s="83" t="s">
        <v>621</v>
      </c>
      <c r="B10" s="84"/>
      <c r="C10" s="84"/>
      <c r="D10" s="85"/>
      <c r="G10" s="12" t="s">
        <v>289</v>
      </c>
      <c r="H10" s="88">
        <v>3</v>
      </c>
      <c r="I10" s="88">
        <v>0.62818334333333326</v>
      </c>
      <c r="J10" s="88">
        <v>0.25766333333333336</v>
      </c>
      <c r="K10" s="59">
        <v>10.661333333333333</v>
      </c>
      <c r="L10" s="59">
        <v>0.46816000666666668</v>
      </c>
      <c r="M10" s="60">
        <v>3</v>
      </c>
      <c r="N10" s="89">
        <v>9.7806666666666668</v>
      </c>
    </row>
    <row r="11" spans="1:14" ht="15" thickBot="1" x14ac:dyDescent="0.35">
      <c r="A11" s="86" t="s">
        <v>574</v>
      </c>
      <c r="B11" s="87" t="s">
        <v>575</v>
      </c>
      <c r="C11" s="69" t="s">
        <v>630</v>
      </c>
      <c r="D11" s="71" t="s">
        <v>631</v>
      </c>
      <c r="G11" s="12" t="s">
        <v>512</v>
      </c>
      <c r="H11" s="88">
        <v>1</v>
      </c>
      <c r="I11" s="88">
        <v>0.24882999</v>
      </c>
      <c r="J11" s="88">
        <v>6.2609999999999999E-2</v>
      </c>
      <c r="K11" s="59">
        <v>0.11700000000000001</v>
      </c>
      <c r="L11" s="59">
        <v>8.0719990000000005E-2</v>
      </c>
      <c r="M11" s="60">
        <v>0</v>
      </c>
      <c r="N11" s="89">
        <v>145.94</v>
      </c>
    </row>
    <row r="12" spans="1:14" x14ac:dyDescent="0.3">
      <c r="A12" s="80" t="s">
        <v>117</v>
      </c>
      <c r="B12" s="48" t="s">
        <v>116</v>
      </c>
      <c r="C12" s="44">
        <v>6</v>
      </c>
      <c r="D12" s="58" t="s">
        <v>628</v>
      </c>
      <c r="G12" s="12" t="s">
        <v>405</v>
      </c>
      <c r="H12" s="88">
        <v>1</v>
      </c>
      <c r="I12" s="88">
        <v>0.39372003</v>
      </c>
      <c r="J12" s="88">
        <v>7.3959999999999998E-2</v>
      </c>
      <c r="K12" s="59">
        <v>0.52800000000000002</v>
      </c>
      <c r="L12" s="59">
        <v>0.11324999500000001</v>
      </c>
      <c r="M12" s="60">
        <v>0</v>
      </c>
      <c r="N12" s="89">
        <v>97.456999999999994</v>
      </c>
    </row>
    <row r="13" spans="1:14" x14ac:dyDescent="0.3">
      <c r="A13" s="78" t="s">
        <v>315</v>
      </c>
      <c r="B13" s="7" t="s">
        <v>223</v>
      </c>
      <c r="C13" s="35">
        <v>6</v>
      </c>
      <c r="D13" s="62" t="s">
        <v>628</v>
      </c>
      <c r="G13" s="12" t="s">
        <v>105</v>
      </c>
      <c r="H13" s="88">
        <v>2</v>
      </c>
      <c r="I13" s="88">
        <v>0.28190001999999997</v>
      </c>
      <c r="J13" s="88">
        <v>9.932000299999999E-2</v>
      </c>
      <c r="K13" s="59">
        <v>0.10450000000000001</v>
      </c>
      <c r="L13" s="59">
        <v>0.1895</v>
      </c>
      <c r="M13" s="60">
        <v>2.5</v>
      </c>
      <c r="N13" s="89">
        <v>12.516</v>
      </c>
    </row>
    <row r="14" spans="1:14" x14ac:dyDescent="0.3">
      <c r="A14" s="78" t="s">
        <v>317</v>
      </c>
      <c r="B14" s="7" t="s">
        <v>210</v>
      </c>
      <c r="C14" s="35">
        <v>6</v>
      </c>
      <c r="D14" s="62" t="s">
        <v>628</v>
      </c>
      <c r="G14" s="12" t="s">
        <v>447</v>
      </c>
      <c r="H14" s="88">
        <v>2</v>
      </c>
      <c r="I14" s="88">
        <v>0.22579001000000001</v>
      </c>
      <c r="J14" s="88">
        <v>0.10383499800000001</v>
      </c>
      <c r="K14" s="59">
        <v>0.16499999999999998</v>
      </c>
      <c r="L14" s="59">
        <v>0.19272</v>
      </c>
      <c r="M14" s="60">
        <v>2.5</v>
      </c>
      <c r="N14" s="89">
        <v>0.79700000000000004</v>
      </c>
    </row>
    <row r="15" spans="1:14" x14ac:dyDescent="0.3">
      <c r="A15" s="78" t="s">
        <v>45</v>
      </c>
      <c r="B15" s="7" t="s">
        <v>44</v>
      </c>
      <c r="C15" s="35">
        <v>5</v>
      </c>
      <c r="D15" s="62" t="s">
        <v>629</v>
      </c>
      <c r="G15" s="12" t="s">
        <v>257</v>
      </c>
      <c r="H15" s="88">
        <v>2</v>
      </c>
      <c r="I15" s="88">
        <v>0.37841499999999995</v>
      </c>
      <c r="J15" s="88">
        <v>8.9150006000000004E-2</v>
      </c>
      <c r="K15" s="59">
        <v>7.1000000000000008E-2</v>
      </c>
      <c r="L15" s="59">
        <v>0.160855</v>
      </c>
      <c r="M15" s="60">
        <v>3</v>
      </c>
      <c r="N15" s="89">
        <v>134.4075</v>
      </c>
    </row>
    <row r="16" spans="1:14" x14ac:dyDescent="0.3">
      <c r="A16" s="78" t="s">
        <v>58</v>
      </c>
      <c r="B16" s="7" t="s">
        <v>57</v>
      </c>
      <c r="C16" s="35">
        <v>5</v>
      </c>
      <c r="D16" s="62" t="s">
        <v>629</v>
      </c>
      <c r="G16" s="12" t="s">
        <v>187</v>
      </c>
      <c r="H16" s="88">
        <v>2</v>
      </c>
      <c r="I16" s="88">
        <v>0.37621999</v>
      </c>
      <c r="J16" s="88">
        <v>9.1655002499999999E-2</v>
      </c>
      <c r="K16" s="59">
        <v>7.8999999999999987E-2</v>
      </c>
      <c r="L16" s="59">
        <v>0.16283</v>
      </c>
      <c r="M16" s="60">
        <v>3</v>
      </c>
      <c r="N16" s="89">
        <v>126.82900000000001</v>
      </c>
    </row>
    <row r="17" spans="1:14" x14ac:dyDescent="0.3">
      <c r="A17" s="78" t="s">
        <v>80</v>
      </c>
      <c r="B17" s="7" t="s">
        <v>65</v>
      </c>
      <c r="C17" s="35">
        <v>5</v>
      </c>
      <c r="D17" s="62" t="s">
        <v>629</v>
      </c>
      <c r="G17" s="12" t="s">
        <v>570</v>
      </c>
      <c r="H17" s="88">
        <v>1</v>
      </c>
      <c r="I17" s="88">
        <v>0.27184999999999998</v>
      </c>
      <c r="J17" s="88">
        <v>8.9020009999999997E-2</v>
      </c>
      <c r="K17" s="59">
        <v>0.08</v>
      </c>
      <c r="L17" s="59">
        <v>0.23777999999999999</v>
      </c>
      <c r="M17" s="60">
        <v>0</v>
      </c>
      <c r="N17" s="89">
        <v>124.735</v>
      </c>
    </row>
    <row r="18" spans="1:14" x14ac:dyDescent="0.3">
      <c r="A18" s="78" t="s">
        <v>83</v>
      </c>
      <c r="B18" s="7" t="s">
        <v>82</v>
      </c>
      <c r="C18" s="35">
        <v>5</v>
      </c>
      <c r="D18" s="62" t="s">
        <v>629</v>
      </c>
      <c r="G18" s="12" t="s">
        <v>39</v>
      </c>
      <c r="H18" s="88">
        <v>1</v>
      </c>
      <c r="I18" s="88">
        <v>1.45567</v>
      </c>
      <c r="J18" s="88">
        <v>0.19875000000000001</v>
      </c>
      <c r="K18" s="59">
        <v>0.112</v>
      </c>
      <c r="L18" s="59">
        <v>0.26579002000000002</v>
      </c>
      <c r="M18" s="60">
        <v>0</v>
      </c>
      <c r="N18" s="89">
        <v>170.714</v>
      </c>
    </row>
    <row r="19" spans="1:14" x14ac:dyDescent="0.3">
      <c r="A19" s="78" t="s">
        <v>114</v>
      </c>
      <c r="B19" s="7" t="s">
        <v>113</v>
      </c>
      <c r="C19" s="35">
        <v>5</v>
      </c>
      <c r="D19" s="62" t="s">
        <v>629</v>
      </c>
      <c r="G19" s="12" t="s">
        <v>282</v>
      </c>
      <c r="H19" s="88">
        <v>1</v>
      </c>
      <c r="I19" s="88">
        <v>0.25739000000000001</v>
      </c>
      <c r="J19" s="88">
        <v>0.11497</v>
      </c>
      <c r="K19" s="59">
        <v>0.371</v>
      </c>
      <c r="L19" s="59">
        <v>0.18848999999999999</v>
      </c>
      <c r="M19" s="60">
        <v>0</v>
      </c>
      <c r="N19" s="89">
        <v>42.439</v>
      </c>
    </row>
    <row r="20" spans="1:14" x14ac:dyDescent="0.3">
      <c r="A20" s="78" t="s">
        <v>200</v>
      </c>
      <c r="B20" s="7" t="s">
        <v>62</v>
      </c>
      <c r="C20" s="35">
        <v>5</v>
      </c>
      <c r="D20" s="62" t="s">
        <v>629</v>
      </c>
      <c r="G20" s="12" t="s">
        <v>65</v>
      </c>
      <c r="H20" s="88">
        <v>3</v>
      </c>
      <c r="I20" s="88">
        <v>0.61539335666666661</v>
      </c>
      <c r="J20" s="88">
        <v>0.11619666766666666</v>
      </c>
      <c r="K20" s="59">
        <v>0.21299999999999999</v>
      </c>
      <c r="L20" s="59">
        <v>0.39226666333333338</v>
      </c>
      <c r="M20" s="60">
        <v>3</v>
      </c>
      <c r="N20" s="89">
        <v>99.888333333333321</v>
      </c>
    </row>
    <row r="21" spans="1:14" ht="15" thickBot="1" x14ac:dyDescent="0.35">
      <c r="A21" s="79" t="s">
        <v>202</v>
      </c>
      <c r="B21" s="42" t="s">
        <v>165</v>
      </c>
      <c r="C21" s="38">
        <v>5</v>
      </c>
      <c r="D21" s="66" t="s">
        <v>629</v>
      </c>
      <c r="G21" s="12" t="s">
        <v>108</v>
      </c>
      <c r="H21" s="88">
        <v>6</v>
      </c>
      <c r="I21" s="88">
        <v>0.32766498833333341</v>
      </c>
      <c r="J21" s="88">
        <v>9.1146667000000001E-2</v>
      </c>
      <c r="K21" s="59">
        <v>0.17683333333333331</v>
      </c>
      <c r="L21" s="59">
        <v>0.18452167</v>
      </c>
      <c r="M21" s="60">
        <v>2.3333333333333335</v>
      </c>
      <c r="N21" s="89">
        <v>96.502166666666668</v>
      </c>
    </row>
    <row r="22" spans="1:14" ht="15" thickBot="1" x14ac:dyDescent="0.35">
      <c r="G22" s="12" t="s">
        <v>71</v>
      </c>
      <c r="H22" s="88">
        <v>5</v>
      </c>
      <c r="I22" s="88">
        <v>0.30520200399999997</v>
      </c>
      <c r="J22" s="88">
        <v>7.6300001999999992E-2</v>
      </c>
      <c r="K22" s="59">
        <v>7.6399999999999996E-2</v>
      </c>
      <c r="L22" s="59">
        <v>4.7956000000000006E-2</v>
      </c>
      <c r="M22" s="60">
        <v>3</v>
      </c>
      <c r="N22" s="89">
        <v>118.09079999999999</v>
      </c>
    </row>
    <row r="23" spans="1:14" ht="15" thickBot="1" x14ac:dyDescent="0.35">
      <c r="A23" s="83" t="s">
        <v>622</v>
      </c>
      <c r="B23" s="84"/>
      <c r="C23" s="84"/>
      <c r="D23" s="85"/>
      <c r="G23" s="12" t="s">
        <v>68</v>
      </c>
      <c r="H23" s="88">
        <v>8</v>
      </c>
      <c r="I23" s="88">
        <v>0.47294625624999997</v>
      </c>
      <c r="J23" s="88">
        <v>9.5184285714285721E-2</v>
      </c>
      <c r="K23" s="59">
        <v>0.27012500000000006</v>
      </c>
      <c r="L23" s="59">
        <v>0.21304124999999999</v>
      </c>
      <c r="M23" s="60">
        <v>2.125</v>
      </c>
      <c r="N23" s="89">
        <v>212.02399999999997</v>
      </c>
    </row>
    <row r="24" spans="1:14" ht="15" thickBot="1" x14ac:dyDescent="0.35">
      <c r="A24" s="86" t="s">
        <v>574</v>
      </c>
      <c r="B24" s="87" t="s">
        <v>575</v>
      </c>
      <c r="C24" s="69" t="s">
        <v>630</v>
      </c>
      <c r="D24" s="71" t="s">
        <v>631</v>
      </c>
      <c r="G24" s="12" t="s">
        <v>248</v>
      </c>
      <c r="H24" s="88">
        <v>1</v>
      </c>
      <c r="I24" s="88">
        <v>0.48911998000000001</v>
      </c>
      <c r="J24" s="88">
        <v>0.12773000000000001</v>
      </c>
      <c r="K24" s="59">
        <v>8.8999999999999996E-2</v>
      </c>
      <c r="L24" s="59">
        <v>0.26196000000000003</v>
      </c>
      <c r="M24" s="60">
        <v>0</v>
      </c>
      <c r="N24" s="89">
        <v>149.47200000000001</v>
      </c>
    </row>
    <row r="25" spans="1:14" x14ac:dyDescent="0.3">
      <c r="A25" s="19" t="s">
        <v>475</v>
      </c>
      <c r="B25" s="45" t="s">
        <v>474</v>
      </c>
      <c r="C25" s="44">
        <v>0</v>
      </c>
      <c r="D25" s="58" t="s">
        <v>632</v>
      </c>
      <c r="G25" s="12" t="s">
        <v>428</v>
      </c>
      <c r="H25" s="88">
        <v>2</v>
      </c>
      <c r="I25" s="88">
        <v>0.24948999999999999</v>
      </c>
      <c r="J25" s="88">
        <v>9.2054997999999999E-2</v>
      </c>
      <c r="K25" s="59">
        <v>0.16600000000000001</v>
      </c>
      <c r="L25" s="59">
        <v>0.15349000499999998</v>
      </c>
      <c r="M25" s="60">
        <v>3</v>
      </c>
      <c r="N25" s="89">
        <v>57.782499999999999</v>
      </c>
    </row>
    <row r="26" spans="1:14" x14ac:dyDescent="0.3">
      <c r="A26" s="12" t="s">
        <v>483</v>
      </c>
      <c r="B26" s="10" t="s">
        <v>482</v>
      </c>
      <c r="C26" s="35">
        <v>0</v>
      </c>
      <c r="D26" s="62" t="s">
        <v>632</v>
      </c>
      <c r="G26" s="12" t="s">
        <v>332</v>
      </c>
      <c r="H26" s="88">
        <v>2</v>
      </c>
      <c r="I26" s="88">
        <v>0.133660005</v>
      </c>
      <c r="J26" s="88">
        <v>7.3480000000000004E-2</v>
      </c>
      <c r="K26" s="59">
        <v>0.32250000000000001</v>
      </c>
      <c r="L26" s="59">
        <v>0.20740999700000001</v>
      </c>
      <c r="M26" s="60">
        <v>3</v>
      </c>
      <c r="N26" s="89">
        <v>24.61</v>
      </c>
    </row>
    <row r="27" spans="1:14" x14ac:dyDescent="0.3">
      <c r="A27" s="12" t="s">
        <v>492</v>
      </c>
      <c r="B27" s="10" t="s">
        <v>491</v>
      </c>
      <c r="C27" s="35">
        <v>0</v>
      </c>
      <c r="D27" s="62" t="s">
        <v>632</v>
      </c>
      <c r="G27" s="12" t="s">
        <v>413</v>
      </c>
      <c r="H27" s="88">
        <v>1</v>
      </c>
      <c r="I27" s="88">
        <v>9.3649999999999997E-2</v>
      </c>
      <c r="J27" s="88">
        <v>5.0250000000000003E-2</v>
      </c>
      <c r="K27" s="59">
        <v>7.3999999999999996E-2</v>
      </c>
      <c r="L27" s="59">
        <v>6.9169999999999995E-2</v>
      </c>
      <c r="M27" s="60">
        <v>0</v>
      </c>
      <c r="N27" s="89">
        <v>48.6</v>
      </c>
    </row>
    <row r="28" spans="1:14" x14ac:dyDescent="0.3">
      <c r="A28" s="12" t="s">
        <v>494</v>
      </c>
      <c r="B28" s="10" t="s">
        <v>447</v>
      </c>
      <c r="C28" s="35">
        <v>0</v>
      </c>
      <c r="D28" s="62" t="s">
        <v>632</v>
      </c>
      <c r="G28" s="12" t="s">
        <v>98</v>
      </c>
      <c r="H28" s="88">
        <v>4</v>
      </c>
      <c r="I28" s="88">
        <v>0.18733000275</v>
      </c>
      <c r="J28" s="88">
        <v>5.0625000125E-2</v>
      </c>
      <c r="K28" s="59">
        <v>0.17549999999999999</v>
      </c>
      <c r="L28" s="59">
        <v>0.10431499775</v>
      </c>
      <c r="M28" s="60">
        <v>2.5</v>
      </c>
      <c r="N28" s="89">
        <v>174.17824999999999</v>
      </c>
    </row>
    <row r="29" spans="1:14" x14ac:dyDescent="0.3">
      <c r="A29" s="12" t="s">
        <v>506</v>
      </c>
      <c r="B29" s="10" t="s">
        <v>348</v>
      </c>
      <c r="C29" s="35">
        <v>0</v>
      </c>
      <c r="D29" s="62" t="s">
        <v>632</v>
      </c>
      <c r="G29" s="12" t="s">
        <v>192</v>
      </c>
      <c r="H29" s="88">
        <v>2</v>
      </c>
      <c r="I29" s="88">
        <v>0.39367998999999998</v>
      </c>
      <c r="J29" s="88">
        <v>5.8454999999999993E-2</v>
      </c>
      <c r="K29" s="59">
        <v>0.19400000000000001</v>
      </c>
      <c r="L29" s="59">
        <v>0.13148500000000002</v>
      </c>
      <c r="M29" s="60">
        <v>3</v>
      </c>
      <c r="N29" s="89">
        <v>246.83299999999997</v>
      </c>
    </row>
    <row r="30" spans="1:14" x14ac:dyDescent="0.3">
      <c r="A30" s="12" t="s">
        <v>513</v>
      </c>
      <c r="B30" s="10" t="s">
        <v>512</v>
      </c>
      <c r="C30" s="35">
        <v>0</v>
      </c>
      <c r="D30" s="62" t="s">
        <v>632</v>
      </c>
      <c r="G30" s="12" t="s">
        <v>378</v>
      </c>
      <c r="H30" s="88">
        <v>1</v>
      </c>
      <c r="I30" s="88">
        <v>0.12636</v>
      </c>
      <c r="J30" s="88">
        <v>3.5479999999999998E-2</v>
      </c>
      <c r="K30" s="59">
        <v>0.34499999999999997</v>
      </c>
      <c r="L30" s="59">
        <v>3.2620000000000003E-2</v>
      </c>
      <c r="M30" s="60">
        <v>0</v>
      </c>
      <c r="N30" s="89">
        <v>44.843000000000004</v>
      </c>
    </row>
    <row r="31" spans="1:14" x14ac:dyDescent="0.3">
      <c r="A31" s="12" t="s">
        <v>520</v>
      </c>
      <c r="B31" s="10" t="s">
        <v>519</v>
      </c>
      <c r="C31" s="35">
        <v>0</v>
      </c>
      <c r="D31" s="62" t="s">
        <v>632</v>
      </c>
      <c r="G31" s="12" t="s">
        <v>179</v>
      </c>
      <c r="H31" s="88">
        <v>5</v>
      </c>
      <c r="I31" s="88">
        <v>0.48719750249999993</v>
      </c>
      <c r="J31" s="88">
        <v>0.10174799999999999</v>
      </c>
      <c r="K31" s="59">
        <v>0.15279999999999999</v>
      </c>
      <c r="L31" s="59">
        <v>0.40717199599999992</v>
      </c>
      <c r="M31" s="60">
        <v>2.4</v>
      </c>
      <c r="N31" s="89">
        <v>95.873400000000004</v>
      </c>
    </row>
    <row r="32" spans="1:14" x14ac:dyDescent="0.3">
      <c r="A32" s="12" t="s">
        <v>535</v>
      </c>
      <c r="B32" s="10" t="s">
        <v>534</v>
      </c>
      <c r="C32" s="35">
        <v>0</v>
      </c>
      <c r="D32" s="62" t="s">
        <v>632</v>
      </c>
      <c r="G32" s="12" t="s">
        <v>471</v>
      </c>
      <c r="H32" s="88">
        <v>1</v>
      </c>
      <c r="I32" s="88">
        <v>0.57828999999999997</v>
      </c>
      <c r="J32" s="88">
        <v>5.8349999999999999E-2</v>
      </c>
      <c r="K32" s="59">
        <v>0.41199999999999998</v>
      </c>
      <c r="L32" s="59">
        <v>1.2930000000000001E-2</v>
      </c>
      <c r="M32" s="60">
        <v>0</v>
      </c>
      <c r="N32" s="89">
        <v>944.60599999999999</v>
      </c>
    </row>
    <row r="33" spans="1:14" x14ac:dyDescent="0.3">
      <c r="A33" s="12" t="s">
        <v>560</v>
      </c>
      <c r="B33" s="10" t="s">
        <v>559</v>
      </c>
      <c r="C33" s="35">
        <v>0</v>
      </c>
      <c r="D33" s="62" t="s">
        <v>632</v>
      </c>
      <c r="G33" s="12" t="s">
        <v>129</v>
      </c>
      <c r="H33" s="88">
        <v>1</v>
      </c>
      <c r="I33" s="88">
        <v>0.48263</v>
      </c>
      <c r="J33" s="88">
        <v>0.12352</v>
      </c>
      <c r="K33" s="59">
        <v>0.01</v>
      </c>
      <c r="L33" s="59">
        <v>0.13322000000000001</v>
      </c>
      <c r="M33" s="60">
        <v>0</v>
      </c>
      <c r="N33" s="89">
        <v>85.251999999999995</v>
      </c>
    </row>
    <row r="34" spans="1:14" ht="15" thickBot="1" x14ac:dyDescent="0.35">
      <c r="A34" s="14" t="s">
        <v>571</v>
      </c>
      <c r="B34" s="39" t="s">
        <v>570</v>
      </c>
      <c r="C34" s="38">
        <v>0</v>
      </c>
      <c r="D34" s="66" t="s">
        <v>632</v>
      </c>
      <c r="G34" s="12" t="s">
        <v>335</v>
      </c>
      <c r="H34" s="88">
        <v>1</v>
      </c>
      <c r="I34" s="88">
        <v>7.2529999999999997E-2</v>
      </c>
      <c r="J34" s="88">
        <v>5.7789996000000003E-2</v>
      </c>
      <c r="K34" s="59">
        <v>-8.6999999999999994E-2</v>
      </c>
      <c r="L34" s="59">
        <v>0.16670999</v>
      </c>
      <c r="M34" s="60">
        <v>0</v>
      </c>
      <c r="N34" s="89">
        <v>26.806000000000001</v>
      </c>
    </row>
    <row r="35" spans="1:14" x14ac:dyDescent="0.3">
      <c r="G35" s="12" t="s">
        <v>474</v>
      </c>
      <c r="H35" s="88">
        <v>1</v>
      </c>
      <c r="I35" s="88">
        <v>0.10453</v>
      </c>
      <c r="J35" s="88">
        <v>3.3570003000000001E-2</v>
      </c>
      <c r="K35" s="59">
        <v>7.1999999999999995E-2</v>
      </c>
      <c r="L35" s="59">
        <v>7.4699995999999999E-3</v>
      </c>
      <c r="M35" s="60">
        <v>0</v>
      </c>
      <c r="N35" s="89">
        <v>218.16499999999999</v>
      </c>
    </row>
    <row r="36" spans="1:14" x14ac:dyDescent="0.3">
      <c r="G36" s="12" t="s">
        <v>62</v>
      </c>
      <c r="H36" s="88">
        <v>6</v>
      </c>
      <c r="I36" s="88">
        <v>0.14621000233333331</v>
      </c>
      <c r="J36" s="88">
        <v>4.6496666166666666E-2</v>
      </c>
      <c r="K36" s="59">
        <v>0.11366666666666665</v>
      </c>
      <c r="L36" s="59">
        <v>3.6041667333333333E-2</v>
      </c>
      <c r="M36" s="60">
        <v>2.6666666666666665</v>
      </c>
      <c r="N36" s="89">
        <v>78.132333333333335</v>
      </c>
    </row>
    <row r="37" spans="1:14" x14ac:dyDescent="0.3">
      <c r="G37" s="12" t="s">
        <v>82</v>
      </c>
      <c r="H37" s="88">
        <v>2</v>
      </c>
      <c r="I37" s="88">
        <v>9.4907002499999997</v>
      </c>
      <c r="J37" s="88">
        <v>0.18337500000000001</v>
      </c>
      <c r="K37" s="59">
        <v>6.25E-2</v>
      </c>
      <c r="L37" s="59">
        <v>9.7080004999999997E-2</v>
      </c>
      <c r="M37" s="60">
        <v>3</v>
      </c>
      <c r="N37" s="89">
        <v>2186.7150000000001</v>
      </c>
    </row>
    <row r="38" spans="1:14" x14ac:dyDescent="0.3">
      <c r="G38" s="12" t="s">
        <v>74</v>
      </c>
      <c r="H38" s="88">
        <v>4</v>
      </c>
      <c r="I38" s="88">
        <v>1.3491250000000001</v>
      </c>
      <c r="J38" s="88">
        <v>0.113515</v>
      </c>
      <c r="K38" s="59">
        <v>8.4750000000000006E-2</v>
      </c>
      <c r="L38" s="59">
        <v>0.14528250400000001</v>
      </c>
      <c r="M38" s="60">
        <v>2.25</v>
      </c>
      <c r="N38" s="89">
        <v>560.26625000000001</v>
      </c>
    </row>
    <row r="39" spans="1:14" x14ac:dyDescent="0.3">
      <c r="G39" s="12" t="s">
        <v>113</v>
      </c>
      <c r="H39" s="88">
        <v>5</v>
      </c>
      <c r="I39" s="88">
        <v>0.15423999999999999</v>
      </c>
      <c r="J39" s="88">
        <v>5.8694001199999998E-2</v>
      </c>
      <c r="K39" s="59">
        <v>0.12479999999999999</v>
      </c>
      <c r="L39" s="59">
        <v>8.1440000400000004E-2</v>
      </c>
      <c r="M39" s="60">
        <v>2.6</v>
      </c>
      <c r="N39" s="89">
        <v>80.509399999999999</v>
      </c>
    </row>
    <row r="40" spans="1:14" x14ac:dyDescent="0.3">
      <c r="G40" s="12" t="s">
        <v>264</v>
      </c>
      <c r="H40" s="88">
        <v>3</v>
      </c>
      <c r="I40" s="88">
        <v>0.25839666666666666</v>
      </c>
      <c r="J40" s="88">
        <v>5.4233333333333335E-2</v>
      </c>
      <c r="K40" s="59">
        <v>0.15366666666666667</v>
      </c>
      <c r="L40" s="59">
        <v>0.11870000133333335</v>
      </c>
      <c r="M40" s="60">
        <v>3.3333333333333335</v>
      </c>
      <c r="N40" s="89">
        <v>199.41466666666668</v>
      </c>
    </row>
    <row r="41" spans="1:14" x14ac:dyDescent="0.3">
      <c r="G41" s="12" t="s">
        <v>375</v>
      </c>
      <c r="H41" s="88">
        <v>1</v>
      </c>
      <c r="I41" s="88">
        <v>8.906E-2</v>
      </c>
      <c r="J41" s="88">
        <v>8.4100000000000008E-3</v>
      </c>
      <c r="K41" s="59">
        <v>0.30199999999999999</v>
      </c>
      <c r="L41" s="59">
        <v>0.11803999499999999</v>
      </c>
      <c r="M41" s="60">
        <v>0</v>
      </c>
      <c r="N41" s="89">
        <v>48.051000000000002</v>
      </c>
    </row>
    <row r="42" spans="1:14" x14ac:dyDescent="0.3">
      <c r="G42" s="12" t="s">
        <v>357</v>
      </c>
      <c r="H42" s="88">
        <v>3</v>
      </c>
      <c r="I42" s="88">
        <v>0.10791000133333332</v>
      </c>
      <c r="J42" s="88">
        <v>1.1779999999999999E-2</v>
      </c>
      <c r="K42" s="59">
        <v>-4.3333333333333335E-2</v>
      </c>
      <c r="L42" s="59">
        <v>0.13010667000000001</v>
      </c>
      <c r="M42" s="60">
        <v>2.3333333333333335</v>
      </c>
      <c r="N42" s="89">
        <v>81.62866666666666</v>
      </c>
    </row>
    <row r="43" spans="1:14" x14ac:dyDescent="0.3">
      <c r="G43" s="12" t="s">
        <v>245</v>
      </c>
      <c r="H43" s="88">
        <v>4</v>
      </c>
      <c r="I43" s="88">
        <v>0.16450249750000001</v>
      </c>
      <c r="J43" s="88">
        <v>3.255500075E-2</v>
      </c>
      <c r="K43" s="59">
        <v>0.12125000000000001</v>
      </c>
      <c r="L43" s="59">
        <v>0.10666250149999999</v>
      </c>
      <c r="M43" s="60">
        <v>2.5</v>
      </c>
      <c r="N43" s="89">
        <v>29.932749999999999</v>
      </c>
    </row>
    <row r="44" spans="1:14" x14ac:dyDescent="0.3">
      <c r="G44" s="12" t="s">
        <v>138</v>
      </c>
      <c r="H44" s="88">
        <v>2</v>
      </c>
      <c r="I44" s="88">
        <v>0.472089975</v>
      </c>
      <c r="J44" s="88">
        <v>6.8404999999999994E-2</v>
      </c>
      <c r="K44" s="59">
        <v>0.11699999999999999</v>
      </c>
      <c r="L44" s="59">
        <v>6.1605000000000007E-2</v>
      </c>
      <c r="M44" s="60">
        <v>3</v>
      </c>
      <c r="N44" s="89">
        <v>180.0265</v>
      </c>
    </row>
    <row r="45" spans="1:14" x14ac:dyDescent="0.3">
      <c r="G45" s="12" t="s">
        <v>47</v>
      </c>
      <c r="H45" s="88">
        <v>3</v>
      </c>
      <c r="I45" s="88">
        <v>0.31746666666666662</v>
      </c>
      <c r="J45" s="88">
        <v>0.15650333666666669</v>
      </c>
      <c r="K45" s="59">
        <v>0.28233333333333333</v>
      </c>
      <c r="L45" s="59">
        <v>0.30802665999999995</v>
      </c>
      <c r="M45" s="60">
        <v>2.6666666666666665</v>
      </c>
      <c r="N45" s="89">
        <v>11.410666666666666</v>
      </c>
    </row>
    <row r="46" spans="1:14" x14ac:dyDescent="0.3">
      <c r="G46" s="12" t="s">
        <v>51</v>
      </c>
      <c r="H46" s="88">
        <v>2</v>
      </c>
      <c r="I46" s="88">
        <v>0.28625999000000002</v>
      </c>
      <c r="J46" s="88">
        <v>5.9479999000000006E-2</v>
      </c>
      <c r="K46" s="59">
        <v>0.10100000000000001</v>
      </c>
      <c r="L46" s="59">
        <v>0.57074999999999998</v>
      </c>
      <c r="M46" s="60">
        <v>3</v>
      </c>
      <c r="N46" s="89">
        <v>92.949000000000012</v>
      </c>
    </row>
    <row r="47" spans="1:14" x14ac:dyDescent="0.3">
      <c r="G47" s="12" t="s">
        <v>360</v>
      </c>
      <c r="H47" s="88">
        <v>2</v>
      </c>
      <c r="I47" s="88">
        <v>0.81430000000000002</v>
      </c>
      <c r="J47" s="88">
        <v>3.2390000000000002E-2</v>
      </c>
      <c r="K47" s="59">
        <v>1.036</v>
      </c>
      <c r="L47" s="59">
        <v>9.1394995000000007E-2</v>
      </c>
      <c r="M47" s="60">
        <v>2.5</v>
      </c>
      <c r="N47" s="89">
        <v>581.97149999999999</v>
      </c>
    </row>
    <row r="48" spans="1:14" x14ac:dyDescent="0.3">
      <c r="G48" s="12" t="s">
        <v>269</v>
      </c>
      <c r="H48" s="88">
        <v>1</v>
      </c>
      <c r="I48" s="88">
        <v>4.7439200000000001</v>
      </c>
      <c r="J48" s="88">
        <v>0.12033000000000001</v>
      </c>
      <c r="K48" s="59">
        <v>0.14799999999999999</v>
      </c>
      <c r="L48" s="59">
        <v>0.11328000000000001</v>
      </c>
      <c r="M48" s="60">
        <v>0</v>
      </c>
      <c r="N48" s="89">
        <v>1866.3009999999999</v>
      </c>
    </row>
    <row r="49" spans="7:14" x14ac:dyDescent="0.3">
      <c r="G49" s="12" t="s">
        <v>126</v>
      </c>
      <c r="H49" s="88">
        <v>7</v>
      </c>
      <c r="I49" s="88">
        <v>0.18973999999999999</v>
      </c>
      <c r="J49" s="88">
        <v>7.492714242857143E-2</v>
      </c>
      <c r="K49" s="59">
        <v>0.16085714285714287</v>
      </c>
      <c r="L49" s="59">
        <v>0.17781714214285715</v>
      </c>
      <c r="M49" s="60">
        <v>2.8571428571428572</v>
      </c>
      <c r="N49" s="89">
        <v>50.663714285714285</v>
      </c>
    </row>
    <row r="50" spans="7:14" x14ac:dyDescent="0.3">
      <c r="G50" s="12" t="s">
        <v>418</v>
      </c>
      <c r="H50" s="88">
        <v>1</v>
      </c>
      <c r="I50" s="88">
        <v>14.01754</v>
      </c>
      <c r="J50" s="88">
        <v>2.6859999999999998E-2</v>
      </c>
      <c r="K50" s="59">
        <v>9.6000000000000002E-2</v>
      </c>
      <c r="L50" s="59">
        <v>5.4900004000000002E-3</v>
      </c>
      <c r="M50" s="60">
        <v>0</v>
      </c>
      <c r="N50" s="89">
        <v>0</v>
      </c>
    </row>
    <row r="51" spans="7:14" x14ac:dyDescent="0.3">
      <c r="G51" s="12" t="s">
        <v>226</v>
      </c>
      <c r="H51" s="88">
        <v>4</v>
      </c>
      <c r="I51" s="88">
        <v>0.140782501</v>
      </c>
      <c r="J51" s="88">
        <v>8.047999950000001E-2</v>
      </c>
      <c r="K51" s="59">
        <v>0.13175000000000001</v>
      </c>
      <c r="L51" s="59">
        <v>0.16214249875</v>
      </c>
      <c r="M51" s="60">
        <v>2.5</v>
      </c>
      <c r="N51" s="89">
        <v>45.385999999999996</v>
      </c>
    </row>
    <row r="52" spans="7:14" x14ac:dyDescent="0.3">
      <c r="G52" s="12" t="s">
        <v>182</v>
      </c>
      <c r="H52" s="88">
        <v>5</v>
      </c>
      <c r="I52" s="88">
        <v>0.13806800199999997</v>
      </c>
      <c r="J52" s="88">
        <v>9.1553999799999994E-2</v>
      </c>
      <c r="K52" s="59">
        <v>1.5185999999999999</v>
      </c>
      <c r="L52" s="59">
        <v>0.11456799980000001</v>
      </c>
      <c r="M52" s="60">
        <v>3.4</v>
      </c>
      <c r="N52" s="89">
        <v>71.088200000000001</v>
      </c>
    </row>
    <row r="53" spans="7:14" x14ac:dyDescent="0.3">
      <c r="G53" s="12" t="s">
        <v>348</v>
      </c>
      <c r="H53" s="88">
        <v>3</v>
      </c>
      <c r="I53" s="88">
        <v>7.715000000000001E-2</v>
      </c>
      <c r="J53" s="88">
        <v>3.8259999999999995E-2</v>
      </c>
      <c r="K53" s="59">
        <v>0.14366666666666666</v>
      </c>
      <c r="L53" s="59">
        <v>3.8926667999999998E-2</v>
      </c>
      <c r="M53" s="60">
        <v>2.3333333333333335</v>
      </c>
      <c r="N53" s="89">
        <v>106.27766666666668</v>
      </c>
    </row>
    <row r="54" spans="7:14" x14ac:dyDescent="0.3">
      <c r="G54" s="12" t="s">
        <v>77</v>
      </c>
      <c r="H54" s="88">
        <v>2</v>
      </c>
      <c r="I54" s="88">
        <v>0.127670002</v>
      </c>
      <c r="J54" s="88">
        <v>4.9840003000000001E-2</v>
      </c>
      <c r="K54" s="59">
        <v>0.82000000000000006</v>
      </c>
      <c r="L54" s="59">
        <v>9.1500004999999995E-2</v>
      </c>
      <c r="M54" s="60">
        <v>2</v>
      </c>
      <c r="N54" s="89">
        <v>28.75</v>
      </c>
    </row>
    <row r="55" spans="7:14" x14ac:dyDescent="0.3">
      <c r="G55" s="12" t="s">
        <v>479</v>
      </c>
      <c r="H55" s="88">
        <v>2</v>
      </c>
      <c r="I55" s="88">
        <v>6.5054998500000003E-2</v>
      </c>
      <c r="J55" s="88">
        <v>3.6405001000000006E-2</v>
      </c>
      <c r="K55" s="59">
        <v>0.39500000000000002</v>
      </c>
      <c r="L55" s="59">
        <v>0.10838500000000001</v>
      </c>
      <c r="M55" s="60">
        <v>3</v>
      </c>
      <c r="N55" s="89">
        <v>132.209</v>
      </c>
    </row>
    <row r="56" spans="7:14" x14ac:dyDescent="0.3">
      <c r="G56" s="12" t="s">
        <v>425</v>
      </c>
      <c r="H56" s="88">
        <v>3</v>
      </c>
      <c r="I56" s="88">
        <v>7.2096668333333336E-2</v>
      </c>
      <c r="J56" s="88">
        <v>1.6324999999999999E-2</v>
      </c>
      <c r="K56" s="59">
        <v>1.0683333333333334</v>
      </c>
      <c r="L56" s="59">
        <v>3.3746666666666668E-2</v>
      </c>
      <c r="M56" s="60">
        <v>2.6666666666666665</v>
      </c>
      <c r="N56" s="89">
        <v>76.00233333333334</v>
      </c>
    </row>
    <row r="57" spans="7:14" x14ac:dyDescent="0.3">
      <c r="G57" s="12" t="s">
        <v>402</v>
      </c>
      <c r="H57" s="88">
        <v>2</v>
      </c>
      <c r="I57" s="88">
        <v>0.13684499999999999</v>
      </c>
      <c r="J57" s="88">
        <v>5.1325000000000003E-2</v>
      </c>
      <c r="K57" s="59">
        <v>2.35E-2</v>
      </c>
      <c r="L57" s="59">
        <v>0.10389000500000001</v>
      </c>
      <c r="M57" s="60">
        <v>3</v>
      </c>
      <c r="N57" s="89">
        <v>85.083500000000001</v>
      </c>
    </row>
    <row r="58" spans="7:14" x14ac:dyDescent="0.3">
      <c r="G58" s="12" t="s">
        <v>491</v>
      </c>
      <c r="H58" s="88">
        <v>1</v>
      </c>
      <c r="I58" s="88">
        <v>0.21708</v>
      </c>
      <c r="J58" s="88">
        <v>2.649E-2</v>
      </c>
      <c r="K58" s="59">
        <v>7.8E-2</v>
      </c>
      <c r="L58" s="59">
        <v>4.7640000000000002E-2</v>
      </c>
      <c r="M58" s="60">
        <v>0</v>
      </c>
      <c r="N58" s="89">
        <v>117.569</v>
      </c>
    </row>
    <row r="59" spans="7:14" x14ac:dyDescent="0.3">
      <c r="G59" s="12" t="s">
        <v>146</v>
      </c>
      <c r="H59" s="88">
        <v>3</v>
      </c>
      <c r="I59" s="88">
        <v>0.30002334000000003</v>
      </c>
      <c r="J59" s="88">
        <v>8.1653329666666663E-2</v>
      </c>
      <c r="K59" s="59">
        <v>0.16533333333333333</v>
      </c>
      <c r="L59" s="59">
        <v>0.29006333333333334</v>
      </c>
      <c r="M59" s="60">
        <v>2.3333333333333335</v>
      </c>
      <c r="N59" s="89">
        <v>151.30633333333336</v>
      </c>
    </row>
    <row r="60" spans="7:14" x14ac:dyDescent="0.3">
      <c r="G60" s="12" t="s">
        <v>466</v>
      </c>
      <c r="H60" s="88">
        <v>1</v>
      </c>
      <c r="I60" s="88">
        <v>2.614E-2</v>
      </c>
      <c r="J60" s="88">
        <v>1.3569999500000001E-2</v>
      </c>
      <c r="K60" s="59">
        <v>0.19600000000000001</v>
      </c>
      <c r="L60" s="59">
        <v>9.6860000000000002E-2</v>
      </c>
      <c r="M60" s="60">
        <v>0</v>
      </c>
      <c r="N60" s="89">
        <v>78.370999999999995</v>
      </c>
    </row>
    <row r="61" spans="7:14" x14ac:dyDescent="0.3">
      <c r="G61" s="12" t="s">
        <v>210</v>
      </c>
      <c r="H61" s="88">
        <v>2</v>
      </c>
      <c r="I61" s="88">
        <v>0.12606500000000001</v>
      </c>
      <c r="J61" s="88">
        <v>4.9790000000000001E-2</v>
      </c>
      <c r="K61" s="59">
        <v>0.16500000000000001</v>
      </c>
      <c r="L61" s="59">
        <v>0.454235</v>
      </c>
      <c r="M61" s="60">
        <v>3</v>
      </c>
      <c r="N61" s="89">
        <v>55.820499999999996</v>
      </c>
    </row>
    <row r="62" spans="7:14" x14ac:dyDescent="0.3">
      <c r="G62" s="12" t="s">
        <v>519</v>
      </c>
      <c r="H62" s="88">
        <v>1</v>
      </c>
      <c r="I62" s="88">
        <v>9.4420000000000004E-2</v>
      </c>
      <c r="J62" s="88">
        <v>1.308E-2</v>
      </c>
      <c r="K62" s="59">
        <v>8.9999999999999993E-3</v>
      </c>
      <c r="L62" s="59">
        <v>0.38617000000000001</v>
      </c>
      <c r="M62" s="60">
        <v>0</v>
      </c>
      <c r="N62" s="89">
        <v>81.942999999999998</v>
      </c>
    </row>
    <row r="63" spans="7:14" x14ac:dyDescent="0.3">
      <c r="G63" s="12" t="s">
        <v>559</v>
      </c>
      <c r="H63" s="88">
        <v>1</v>
      </c>
      <c r="I63" s="88">
        <v>9.4130000000000005E-2</v>
      </c>
      <c r="J63" s="88">
        <v>1.983E-2</v>
      </c>
      <c r="K63" s="59">
        <v>2.5999999999999999E-2</v>
      </c>
      <c r="L63" s="59">
        <v>0.44369999999999998</v>
      </c>
      <c r="M63" s="60">
        <v>0</v>
      </c>
      <c r="N63" s="89">
        <v>73.709000000000003</v>
      </c>
    </row>
    <row r="64" spans="7:14" x14ac:dyDescent="0.3">
      <c r="G64" s="12" t="s">
        <v>452</v>
      </c>
      <c r="H64" s="88">
        <v>2</v>
      </c>
      <c r="I64" s="88">
        <v>0.3579899755</v>
      </c>
      <c r="J64" s="88">
        <v>3.1074999999999998E-2</v>
      </c>
      <c r="K64" s="59">
        <v>0.43149999999999999</v>
      </c>
      <c r="L64" s="59">
        <v>0.29133999499999996</v>
      </c>
      <c r="M64" s="60">
        <v>3</v>
      </c>
      <c r="N64" s="89">
        <v>325.38600000000002</v>
      </c>
    </row>
    <row r="65" spans="7:14" x14ac:dyDescent="0.3">
      <c r="G65" s="12" t="s">
        <v>218</v>
      </c>
      <c r="H65" s="88">
        <v>4</v>
      </c>
      <c r="I65" s="88">
        <v>0.17198999999999998</v>
      </c>
      <c r="J65" s="88">
        <v>3.8689999999999995E-2</v>
      </c>
      <c r="K65" s="59">
        <v>0.14150000000000001</v>
      </c>
      <c r="L65" s="59">
        <v>0.16090750249999999</v>
      </c>
      <c r="M65" s="60">
        <v>2.25</v>
      </c>
      <c r="N65" s="89">
        <v>226.1405</v>
      </c>
    </row>
    <row r="66" spans="7:14" x14ac:dyDescent="0.3">
      <c r="G66" s="12" t="s">
        <v>141</v>
      </c>
      <c r="H66" s="88">
        <v>4</v>
      </c>
      <c r="I66" s="88">
        <v>0.30247997999999998</v>
      </c>
      <c r="J66" s="88">
        <v>0.13219250125000001</v>
      </c>
      <c r="K66" s="59">
        <v>0.157</v>
      </c>
      <c r="L66" s="59">
        <v>0.19883250749999998</v>
      </c>
      <c r="M66" s="60">
        <v>2</v>
      </c>
      <c r="N66" s="89">
        <v>38.308</v>
      </c>
    </row>
    <row r="67" spans="7:14" x14ac:dyDescent="0.3">
      <c r="G67" s="12" t="s">
        <v>197</v>
      </c>
      <c r="H67" s="88">
        <v>3</v>
      </c>
      <c r="I67" s="88">
        <v>0.69937335</v>
      </c>
      <c r="J67" s="88">
        <v>0.18592000333333333</v>
      </c>
      <c r="K67" s="59">
        <v>0.33833333333333332</v>
      </c>
      <c r="L67" s="59">
        <v>0.29708666666666667</v>
      </c>
      <c r="M67" s="60">
        <v>3.3333333333333335</v>
      </c>
      <c r="N67" s="89">
        <v>74.865666666666669</v>
      </c>
    </row>
    <row r="68" spans="7:14" x14ac:dyDescent="0.3">
      <c r="G68" s="12" t="s">
        <v>57</v>
      </c>
      <c r="H68" s="88">
        <v>10</v>
      </c>
      <c r="I68" s="88">
        <v>0.37541199820000004</v>
      </c>
      <c r="J68" s="88">
        <v>0.1215560017</v>
      </c>
      <c r="K68" s="59">
        <v>0.30759999999999998</v>
      </c>
      <c r="L68" s="59">
        <v>0.24659300000000001</v>
      </c>
      <c r="M68" s="60">
        <v>2.4</v>
      </c>
      <c r="N68" s="89">
        <v>77.073399999999992</v>
      </c>
    </row>
    <row r="69" spans="7:14" x14ac:dyDescent="0.3">
      <c r="G69" s="12" t="s">
        <v>119</v>
      </c>
      <c r="H69" s="88">
        <v>5</v>
      </c>
      <c r="I69" s="88">
        <v>0.5234779812</v>
      </c>
      <c r="J69" s="88">
        <v>6.5944000000000003E-2</v>
      </c>
      <c r="K69" s="59">
        <v>0.28060000000000002</v>
      </c>
      <c r="L69" s="59">
        <v>0.17165200399999997</v>
      </c>
      <c r="M69" s="60">
        <v>2.2000000000000002</v>
      </c>
      <c r="N69" s="89">
        <v>73.073600000000013</v>
      </c>
    </row>
    <row r="70" spans="7:14" x14ac:dyDescent="0.3">
      <c r="G70" s="12" t="s">
        <v>44</v>
      </c>
      <c r="H70" s="88">
        <v>5</v>
      </c>
      <c r="I70" s="88">
        <v>0.40269748999999999</v>
      </c>
      <c r="J70" s="88">
        <v>0.10721799800000001</v>
      </c>
      <c r="K70" s="59">
        <v>0.21980000000000005</v>
      </c>
      <c r="L70" s="59">
        <v>0.26349400199999995</v>
      </c>
      <c r="M70" s="60">
        <v>2.6</v>
      </c>
      <c r="N70" s="89">
        <v>37.377799999999993</v>
      </c>
    </row>
    <row r="71" spans="7:14" x14ac:dyDescent="0.3">
      <c r="G71" s="12" t="s">
        <v>455</v>
      </c>
      <c r="H71" s="88">
        <v>2</v>
      </c>
      <c r="I71" s="88">
        <v>0.17845501</v>
      </c>
      <c r="J71" s="88">
        <v>6.6809997499999996E-2</v>
      </c>
      <c r="K71" s="59">
        <v>0.121</v>
      </c>
      <c r="L71" s="59">
        <v>0.13438</v>
      </c>
      <c r="M71" s="60">
        <v>3</v>
      </c>
      <c r="N71" s="89">
        <v>58.378999999999998</v>
      </c>
    </row>
    <row r="72" spans="7:14" x14ac:dyDescent="0.3">
      <c r="G72" s="12" t="s">
        <v>158</v>
      </c>
      <c r="H72" s="88">
        <v>6</v>
      </c>
      <c r="I72" s="88">
        <v>0.26484833499999999</v>
      </c>
      <c r="J72" s="88">
        <v>6.7101666833333337E-2</v>
      </c>
      <c r="K72" s="59">
        <v>0.21066666666666667</v>
      </c>
      <c r="L72" s="59">
        <v>0.1553600033333333</v>
      </c>
      <c r="M72" s="60">
        <v>2.1666666666666665</v>
      </c>
      <c r="N72" s="89">
        <v>123.15566666666665</v>
      </c>
    </row>
    <row r="73" spans="7:14" x14ac:dyDescent="0.3">
      <c r="G73" s="12" t="s">
        <v>223</v>
      </c>
      <c r="H73" s="88">
        <v>7</v>
      </c>
      <c r="I73" s="88">
        <v>0.26455856971428571</v>
      </c>
      <c r="J73" s="88">
        <v>6.6908572285714285E-2</v>
      </c>
      <c r="K73" s="59">
        <v>7.0857142857142869E-2</v>
      </c>
      <c r="L73" s="59">
        <v>0.12041000057142859</v>
      </c>
      <c r="M73" s="60">
        <v>2.5714285714285716</v>
      </c>
      <c r="N73" s="89">
        <v>107.70214285714287</v>
      </c>
    </row>
    <row r="74" spans="7:14" x14ac:dyDescent="0.3">
      <c r="G74" s="12" t="s">
        <v>408</v>
      </c>
      <c r="H74" s="88">
        <v>2</v>
      </c>
      <c r="I74" s="88">
        <v>7.1736700000000004</v>
      </c>
      <c r="J74" s="88">
        <v>0.13881500000000002</v>
      </c>
      <c r="K74" s="59">
        <v>0.124</v>
      </c>
      <c r="L74" s="59">
        <v>0.154615</v>
      </c>
      <c r="M74" s="60">
        <v>2</v>
      </c>
      <c r="N74" s="89">
        <v>0</v>
      </c>
    </row>
    <row r="75" spans="7:14" x14ac:dyDescent="0.3">
      <c r="G75" s="12" t="s">
        <v>242</v>
      </c>
      <c r="H75" s="88">
        <v>2</v>
      </c>
      <c r="I75" s="88">
        <v>0.46344499</v>
      </c>
      <c r="J75" s="88">
        <v>7.8070000000000001E-2</v>
      </c>
      <c r="K75" s="59">
        <v>0.108</v>
      </c>
      <c r="L75" s="59">
        <v>0.23503499999999999</v>
      </c>
      <c r="M75" s="60">
        <v>3</v>
      </c>
      <c r="N75" s="89">
        <v>48.477499999999999</v>
      </c>
    </row>
    <row r="76" spans="7:14" x14ac:dyDescent="0.3">
      <c r="G76" s="12" t="s">
        <v>482</v>
      </c>
      <c r="H76" s="88">
        <v>1</v>
      </c>
      <c r="I76" s="88">
        <v>0.42226999999999998</v>
      </c>
      <c r="J76" s="88">
        <v>0.19094999000000001</v>
      </c>
      <c r="K76" s="59">
        <v>1.093</v>
      </c>
      <c r="L76" s="59">
        <v>0.15856999999999999</v>
      </c>
      <c r="M76" s="60">
        <v>0</v>
      </c>
      <c r="N76" s="89">
        <v>41.688000000000002</v>
      </c>
    </row>
    <row r="77" spans="7:14" x14ac:dyDescent="0.3">
      <c r="G77" s="12" t="s">
        <v>116</v>
      </c>
      <c r="H77" s="88">
        <v>3</v>
      </c>
      <c r="I77" s="88">
        <v>0.12344333333333335</v>
      </c>
      <c r="J77" s="88">
        <v>4.4393333333333333E-2</v>
      </c>
      <c r="K77" s="59">
        <v>2.6666666666666666E-3</v>
      </c>
      <c r="L77" s="59">
        <v>6.9526670100000007E-2</v>
      </c>
      <c r="M77" s="60">
        <v>2.6666666666666665</v>
      </c>
      <c r="N77" s="89">
        <v>167.02766666666668</v>
      </c>
    </row>
    <row r="78" spans="7:14" x14ac:dyDescent="0.3">
      <c r="G78" s="12" t="s">
        <v>172</v>
      </c>
      <c r="H78" s="88">
        <v>2</v>
      </c>
      <c r="I78" s="88">
        <v>2.7119799000000002</v>
      </c>
      <c r="J78" s="88">
        <v>0.187360005</v>
      </c>
      <c r="K78" s="59">
        <v>3.2500000000000001E-2</v>
      </c>
      <c r="L78" s="59">
        <v>0.21205499999999999</v>
      </c>
      <c r="M78" s="60">
        <v>2</v>
      </c>
      <c r="N78" s="89">
        <v>0</v>
      </c>
    </row>
    <row r="79" spans="7:14" x14ac:dyDescent="0.3">
      <c r="G79" s="12" t="s">
        <v>239</v>
      </c>
      <c r="H79" s="88">
        <v>1</v>
      </c>
      <c r="I79" s="88">
        <v>7.3050000000000004E-2</v>
      </c>
      <c r="J79" s="88">
        <v>4.3749999999999997E-2</v>
      </c>
      <c r="K79" s="59">
        <v>0.77100000000000002</v>
      </c>
      <c r="L79" s="59">
        <v>4.1450000000000001E-2</v>
      </c>
      <c r="M79" s="60">
        <v>0</v>
      </c>
      <c r="N79" s="89">
        <v>208.00700000000001</v>
      </c>
    </row>
    <row r="80" spans="7:14" x14ac:dyDescent="0.3">
      <c r="G80" s="12" t="s">
        <v>534</v>
      </c>
      <c r="H80" s="88">
        <v>1</v>
      </c>
      <c r="I80" s="88">
        <v>0.29527999999999999</v>
      </c>
      <c r="J80" s="88">
        <v>0.18926000000000001</v>
      </c>
      <c r="K80" s="59">
        <v>0.314</v>
      </c>
      <c r="L80" s="59">
        <v>0.19679000999999999</v>
      </c>
      <c r="M80" s="60">
        <v>0</v>
      </c>
      <c r="N80" s="89">
        <v>5.51</v>
      </c>
    </row>
    <row r="81" spans="7:14" x14ac:dyDescent="0.3">
      <c r="G81" s="12" t="s">
        <v>381</v>
      </c>
      <c r="H81" s="88">
        <v>3</v>
      </c>
      <c r="I81" s="88">
        <v>1.920666666666667E-2</v>
      </c>
      <c r="J81" s="88">
        <v>2.2789999333333335E-2</v>
      </c>
      <c r="K81" s="59">
        <v>-1.6999999999999998E-2</v>
      </c>
      <c r="L81" s="59">
        <v>2.3503334666666667E-2</v>
      </c>
      <c r="M81" s="60">
        <v>3.6666666666666665</v>
      </c>
      <c r="N81" s="89">
        <v>123.89433333333334</v>
      </c>
    </row>
    <row r="82" spans="7:14" x14ac:dyDescent="0.3">
      <c r="G82" s="12" t="s">
        <v>155</v>
      </c>
      <c r="H82" s="88">
        <v>6</v>
      </c>
      <c r="I82" s="88">
        <v>8.0088333333333331E-2</v>
      </c>
      <c r="J82" s="88">
        <v>2.1278333750000003E-2</v>
      </c>
      <c r="K82" s="59">
        <v>3.0333333333333337E-2</v>
      </c>
      <c r="L82" s="59">
        <v>0.13919999833333332</v>
      </c>
      <c r="M82" s="60">
        <v>3.3333333333333335</v>
      </c>
      <c r="N82" s="89">
        <v>151.27916666666667</v>
      </c>
    </row>
    <row r="83" spans="7:14" ht="15" thickBot="1" x14ac:dyDescent="0.35">
      <c r="G83" s="14" t="s">
        <v>327</v>
      </c>
      <c r="H83" s="90">
        <v>2</v>
      </c>
      <c r="I83" s="90">
        <v>0.19602499500000001</v>
      </c>
      <c r="J83" s="90">
        <v>6.2375001499999999E-2</v>
      </c>
      <c r="K83" s="63">
        <v>0.17799999999999999</v>
      </c>
      <c r="L83" s="63">
        <v>0.107585002</v>
      </c>
      <c r="M83" s="64">
        <v>3</v>
      </c>
      <c r="N83" s="91">
        <v>145.95850000000002</v>
      </c>
    </row>
    <row r="84" spans="7:14" x14ac:dyDescent="0.3">
      <c r="H84"/>
      <c r="I84"/>
      <c r="J84"/>
      <c r="K84"/>
      <c r="L84"/>
      <c r="M84"/>
      <c r="N84"/>
    </row>
  </sheetData>
  <sortState xmlns:xlrd2="http://schemas.microsoft.com/office/spreadsheetml/2017/richdata2" columnSort="1" ref="G2:N84">
    <sortCondition descending="1" ref="H2"/>
  </sortState>
  <mergeCells count="5">
    <mergeCell ref="A4:B4"/>
    <mergeCell ref="A10:D10"/>
    <mergeCell ref="A23:D23"/>
    <mergeCell ref="A1:B2"/>
    <mergeCell ref="G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Clean_Data</vt:lpstr>
      <vt:lpstr>Industry_Benchmark</vt:lpstr>
      <vt:lpstr>Company_Scoring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2022-03-27T13:08:17Z</dcterms:created>
  <dcterms:modified xsi:type="dcterms:W3CDTF">2026-08-21T10:05:43Z</dcterms:modified>
</cp:coreProperties>
</file>